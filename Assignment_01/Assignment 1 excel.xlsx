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drawings/drawing5.xml" ContentType="application/vnd.openxmlformats-officedocument.drawing+xml"/>
  <Override PartName="/xl/slicers/slicer4.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HP\Documents\IT\"/>
    </mc:Choice>
  </mc:AlternateContent>
  <xr:revisionPtr revIDLastSave="0" documentId="13_ncr:1_{80AEE5D9-EA15-42A7-BC62-58BC72A3EBD4}" xr6:coauthVersionLast="47" xr6:coauthVersionMax="47" xr10:uidLastSave="{00000000-0000-0000-0000-000000000000}"/>
  <bookViews>
    <workbookView xWindow="-110" yWindow="-110" windowWidth="19420" windowHeight="10420" firstSheet="9" activeTab="10" xr2:uid="{14FBBD55-C66E-4961-9C9A-C22BF0D92FF9}"/>
  </bookViews>
  <sheets>
    <sheet name="Raw Data" sheetId="1" r:id="rId1"/>
    <sheet name="Cleaned Data" sheetId="2" r:id="rId2"/>
    <sheet name="Customers" sheetId="9" r:id="rId3"/>
    <sheet name="Orders" sheetId="14" r:id="rId4"/>
    <sheet name="Products" sheetId="10" r:id="rId5"/>
    <sheet name="Order Details" sheetId="12" r:id="rId6"/>
    <sheet name="Calculations" sheetId="13" r:id="rId7"/>
    <sheet name="Conditional Formatting" sheetId="15" r:id="rId8"/>
    <sheet name="Pivot Table 1" sheetId="16" r:id="rId9"/>
    <sheet name="Pivot Table 2" sheetId="18" r:id="rId10"/>
    <sheet name="Pivot Table 3" sheetId="17" r:id="rId11"/>
    <sheet name="Dashboard" sheetId="19" r:id="rId12"/>
    <sheet name="Insights and Recommendations" sheetId="21" r:id="rId13"/>
  </sheets>
  <definedNames>
    <definedName name="Slicer_Category1">#N/A</definedName>
    <definedName name="Slicer_Region">#N/A</definedName>
    <definedName name="Slicer_Region1">#N/A</definedName>
    <definedName name="Slicer_Segment">#N/A</definedName>
    <definedName name="Slicer_Sub_Category">#N/A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15" l="1"/>
  <c r="F13" i="13"/>
  <c r="F12" i="13"/>
  <c r="F11" i="13"/>
  <c r="F14" i="13" s="1"/>
  <c r="F20" i="13"/>
  <c r="F19" i="13"/>
  <c r="F18" i="13"/>
  <c r="F21" i="13" s="1"/>
  <c r="F4" i="13"/>
  <c r="E4" i="14"/>
  <c r="E5" i="14"/>
  <c r="E6" i="14"/>
  <c r="E7" i="14"/>
  <c r="E8" i="14"/>
  <c r="E9" i="14"/>
  <c r="E10" i="14"/>
  <c r="F5" i="13" s="1"/>
  <c r="E11" i="14"/>
  <c r="E12" i="14"/>
  <c r="E13" i="14"/>
  <c r="E14" i="14"/>
  <c r="E15" i="14"/>
  <c r="E16" i="14"/>
  <c r="E17" i="14"/>
  <c r="E18" i="14"/>
  <c r="E19" i="14"/>
  <c r="E20" i="14"/>
  <c r="E21" i="14"/>
  <c r="E22" i="14"/>
  <c r="E23" i="14"/>
  <c r="E24" i="14"/>
  <c r="E25" i="14"/>
  <c r="E26" i="14"/>
  <c r="E27" i="14"/>
  <c r="E28" i="14"/>
  <c r="E29" i="14"/>
  <c r="E30" i="14"/>
  <c r="E31" i="14"/>
  <c r="E32" i="14"/>
  <c r="E33" i="14"/>
  <c r="E34" i="14"/>
  <c r="E35" i="14"/>
  <c r="E36" i="14"/>
  <c r="E37" i="14"/>
  <c r="E38" i="14"/>
  <c r="E39" i="14"/>
  <c r="E40" i="14"/>
  <c r="E41" i="14"/>
  <c r="E42" i="14"/>
  <c r="E43" i="14"/>
  <c r="E44" i="14"/>
  <c r="E45" i="14"/>
  <c r="E46" i="14"/>
  <c r="E47" i="14"/>
  <c r="E48" i="14"/>
  <c r="E49" i="14"/>
  <c r="E50" i="14"/>
  <c r="E51" i="14"/>
  <c r="E52" i="14"/>
  <c r="E53" i="14"/>
  <c r="E54" i="14"/>
  <c r="E55" i="14"/>
  <c r="E56" i="14"/>
  <c r="E57" i="14"/>
  <c r="E58" i="14"/>
  <c r="E59" i="14"/>
  <c r="E60" i="14"/>
  <c r="E61" i="14"/>
  <c r="E62" i="14"/>
  <c r="E63" i="14"/>
  <c r="E64" i="14"/>
  <c r="E65" i="14"/>
  <c r="E66" i="14"/>
  <c r="E67" i="14"/>
  <c r="E68" i="14"/>
  <c r="E69" i="14"/>
  <c r="E70" i="14"/>
  <c r="E71" i="14"/>
  <c r="E3" i="14"/>
  <c r="F3" i="13" s="1"/>
  <c r="D4" i="14"/>
  <c r="D5" i="14"/>
  <c r="D6" i="14"/>
  <c r="D7" i="14"/>
  <c r="D8" i="14"/>
  <c r="D9" i="14"/>
  <c r="D10" i="14"/>
  <c r="D11" i="14"/>
  <c r="D12" i="14"/>
  <c r="D13" i="14"/>
  <c r="D14" i="14"/>
  <c r="D15" i="14"/>
  <c r="D16" i="14"/>
  <c r="D17" i="14"/>
  <c r="D18" i="14"/>
  <c r="D19" i="14"/>
  <c r="D20" i="14"/>
  <c r="D21" i="14"/>
  <c r="D22" i="14"/>
  <c r="D23" i="14"/>
  <c r="D24" i="14"/>
  <c r="D25" i="14"/>
  <c r="D26" i="14"/>
  <c r="D27" i="14"/>
  <c r="D28" i="14"/>
  <c r="D29" i="14"/>
  <c r="D30" i="14"/>
  <c r="D31" i="14"/>
  <c r="D32" i="14"/>
  <c r="D33" i="14"/>
  <c r="D34" i="14"/>
  <c r="D35" i="14"/>
  <c r="D36" i="14"/>
  <c r="D37" i="14"/>
  <c r="D38" i="14"/>
  <c r="D39" i="14"/>
  <c r="D40" i="14"/>
  <c r="D41" i="14"/>
  <c r="D42" i="14"/>
  <c r="D43" i="14"/>
  <c r="D44" i="14"/>
  <c r="D45" i="14"/>
  <c r="D46" i="14"/>
  <c r="D47" i="14"/>
  <c r="D48" i="14"/>
  <c r="D49" i="14"/>
  <c r="D50" i="14"/>
  <c r="D51" i="14"/>
  <c r="D52" i="14"/>
  <c r="D53" i="14"/>
  <c r="D54" i="14"/>
  <c r="D55" i="14"/>
  <c r="D56" i="14"/>
  <c r="D57" i="14"/>
  <c r="D58" i="14"/>
  <c r="D59" i="14"/>
  <c r="D60" i="14"/>
  <c r="D61" i="14"/>
  <c r="D62" i="14"/>
  <c r="D63" i="14"/>
  <c r="D64" i="14"/>
  <c r="D65" i="14"/>
  <c r="D66" i="14"/>
  <c r="D67" i="14"/>
  <c r="D68" i="14"/>
  <c r="D69" i="14"/>
  <c r="D70" i="14"/>
  <c r="D71" i="14"/>
  <c r="D3" i="14"/>
  <c r="C18" i="13"/>
  <c r="C21" i="13" s="1"/>
  <c r="E20" i="13"/>
  <c r="E19" i="13"/>
  <c r="E18" i="13"/>
  <c r="E21" i="13" s="1"/>
  <c r="D20" i="13"/>
  <c r="D19" i="13"/>
  <c r="D21" i="13" s="1"/>
  <c r="D18" i="13"/>
  <c r="C20" i="13"/>
  <c r="C19" i="13"/>
  <c r="B20" i="13"/>
  <c r="B19" i="13"/>
  <c r="B18" i="13"/>
  <c r="B21" i="13" s="1"/>
  <c r="C11" i="13"/>
  <c r="E14" i="13"/>
  <c r="E13" i="13"/>
  <c r="E12" i="13"/>
  <c r="E11" i="13"/>
  <c r="D13" i="13"/>
  <c r="D12" i="13"/>
  <c r="D11" i="13"/>
  <c r="D14" i="13" s="1"/>
  <c r="C13" i="13"/>
  <c r="C12" i="13"/>
  <c r="B13" i="13"/>
  <c r="B12" i="13"/>
  <c r="B11" i="13"/>
  <c r="B14" i="13" s="1"/>
  <c r="K4" i="12"/>
  <c r="K5" i="12"/>
  <c r="K6" i="12"/>
  <c r="K7" i="12"/>
  <c r="K8" i="12"/>
  <c r="K9" i="12"/>
  <c r="K10" i="12"/>
  <c r="K11" i="12"/>
  <c r="K12" i="12"/>
  <c r="K13" i="12"/>
  <c r="K14" i="12"/>
  <c r="K15" i="12"/>
  <c r="K16" i="12"/>
  <c r="K17" i="12"/>
  <c r="K18" i="12"/>
  <c r="K19" i="12"/>
  <c r="K20" i="12"/>
  <c r="K21" i="12"/>
  <c r="K22" i="12"/>
  <c r="K23" i="12"/>
  <c r="K24" i="12"/>
  <c r="K25" i="12"/>
  <c r="K26" i="12"/>
  <c r="K27" i="12"/>
  <c r="K28" i="12"/>
  <c r="K29" i="12"/>
  <c r="K30" i="12"/>
  <c r="K31" i="12"/>
  <c r="K32" i="12"/>
  <c r="K33" i="12"/>
  <c r="K34" i="12"/>
  <c r="K35" i="12"/>
  <c r="K36" i="12"/>
  <c r="K37" i="12"/>
  <c r="K38" i="12"/>
  <c r="K39" i="12"/>
  <c r="K40" i="12"/>
  <c r="K41" i="12"/>
  <c r="K42" i="12"/>
  <c r="K43" i="12"/>
  <c r="K44" i="12"/>
  <c r="K45" i="12"/>
  <c r="K46" i="12"/>
  <c r="K47" i="12"/>
  <c r="K48" i="12"/>
  <c r="K49" i="12"/>
  <c r="K50" i="12"/>
  <c r="K51" i="12"/>
  <c r="K52" i="12"/>
  <c r="K53" i="12"/>
  <c r="K54" i="12"/>
  <c r="K55" i="12"/>
  <c r="K56" i="12"/>
  <c r="K57" i="12"/>
  <c r="K58" i="12"/>
  <c r="K59" i="12"/>
  <c r="K60" i="12"/>
  <c r="K61" i="12"/>
  <c r="K62" i="12"/>
  <c r="K63" i="12"/>
  <c r="K64" i="12"/>
  <c r="K65" i="12"/>
  <c r="K66" i="12"/>
  <c r="K67" i="12"/>
  <c r="K68" i="12"/>
  <c r="K69" i="12"/>
  <c r="K70" i="12"/>
  <c r="K71" i="12"/>
  <c r="K72" i="12"/>
  <c r="K73" i="12"/>
  <c r="K74" i="12"/>
  <c r="K75" i="12"/>
  <c r="K76" i="12"/>
  <c r="K77" i="12"/>
  <c r="K78" i="12"/>
  <c r="K79" i="12"/>
  <c r="K80" i="12"/>
  <c r="K81" i="12"/>
  <c r="K82" i="12"/>
  <c r="K83" i="12"/>
  <c r="K84" i="12"/>
  <c r="K85" i="12"/>
  <c r="K86" i="12"/>
  <c r="K87" i="12"/>
  <c r="K88" i="12"/>
  <c r="K89" i="12"/>
  <c r="K90" i="12"/>
  <c r="K91" i="12"/>
  <c r="K92" i="12"/>
  <c r="K93" i="12"/>
  <c r="K94" i="12"/>
  <c r="K95" i="12"/>
  <c r="K96" i="12"/>
  <c r="K97" i="12"/>
  <c r="K98" i="12"/>
  <c r="K99" i="12"/>
  <c r="K100" i="12"/>
  <c r="K101" i="12"/>
  <c r="K102" i="12"/>
  <c r="K103" i="12"/>
  <c r="K104" i="12"/>
  <c r="K105" i="12"/>
  <c r="K106" i="12"/>
  <c r="K107" i="12"/>
  <c r="K108" i="12"/>
  <c r="K109" i="12"/>
  <c r="K110" i="12"/>
  <c r="K111" i="12"/>
  <c r="K112" i="12"/>
  <c r="K113" i="12"/>
  <c r="K114" i="12"/>
  <c r="K115" i="12"/>
  <c r="K116" i="12"/>
  <c r="K117" i="12"/>
  <c r="K118" i="12"/>
  <c r="K119" i="12"/>
  <c r="K120" i="12"/>
  <c r="K121" i="12"/>
  <c r="K122" i="12"/>
  <c r="K123" i="12"/>
  <c r="K124" i="12"/>
  <c r="K125" i="12"/>
  <c r="K126" i="12"/>
  <c r="K127" i="12"/>
  <c r="K128" i="12"/>
  <c r="K129" i="12"/>
  <c r="K130" i="12"/>
  <c r="K131" i="12"/>
  <c r="K132" i="12"/>
  <c r="K133" i="12"/>
  <c r="K134" i="12"/>
  <c r="K135" i="12"/>
  <c r="K136" i="12"/>
  <c r="K137" i="12"/>
  <c r="K138" i="12"/>
  <c r="K139" i="12"/>
  <c r="K140" i="12"/>
  <c r="K141" i="12"/>
  <c r="K142" i="12"/>
  <c r="K143" i="12"/>
  <c r="K144" i="12"/>
  <c r="K145" i="12"/>
  <c r="K146" i="12"/>
  <c r="K147" i="12"/>
  <c r="K148" i="12"/>
  <c r="K149" i="12"/>
  <c r="K150" i="12"/>
  <c r="K151" i="12"/>
  <c r="K152" i="12"/>
  <c r="K153" i="12"/>
  <c r="K154" i="12"/>
  <c r="K155" i="12"/>
  <c r="K156" i="12"/>
  <c r="K157" i="12"/>
  <c r="K3" i="12"/>
  <c r="E6" i="13"/>
  <c r="E5" i="13"/>
  <c r="E4" i="13"/>
  <c r="E3" i="13"/>
  <c r="E7" i="13" s="1"/>
  <c r="D6" i="13"/>
  <c r="D5" i="13"/>
  <c r="D4" i="13"/>
  <c r="D3" i="13"/>
  <c r="D7" i="13" s="1"/>
  <c r="H3" i="13" s="1"/>
  <c r="C6" i="13"/>
  <c r="C5" i="13"/>
  <c r="C4" i="13"/>
  <c r="C3" i="13"/>
  <c r="C7" i="13" s="1"/>
  <c r="B6" i="13"/>
  <c r="B7" i="13" s="1"/>
  <c r="B5" i="13"/>
  <c r="B4" i="13"/>
  <c r="B3" i="13"/>
  <c r="J4" i="12"/>
  <c r="J5" i="12"/>
  <c r="J6" i="12"/>
  <c r="J7" i="12"/>
  <c r="J8" i="12"/>
  <c r="J9" i="12"/>
  <c r="J10" i="12"/>
  <c r="J11" i="12"/>
  <c r="J12" i="12"/>
  <c r="J13" i="12"/>
  <c r="J14" i="12"/>
  <c r="J15" i="12"/>
  <c r="J16" i="12"/>
  <c r="J17" i="12"/>
  <c r="J18" i="12"/>
  <c r="J19" i="12"/>
  <c r="J20" i="12"/>
  <c r="J21" i="12"/>
  <c r="J22" i="12"/>
  <c r="J23" i="12"/>
  <c r="J24" i="12"/>
  <c r="J25" i="12"/>
  <c r="J26" i="12"/>
  <c r="J27" i="12"/>
  <c r="J28"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J59" i="12"/>
  <c r="J60" i="12"/>
  <c r="J61" i="12"/>
  <c r="J62" i="12"/>
  <c r="J63" i="12"/>
  <c r="J64" i="12"/>
  <c r="J65" i="12"/>
  <c r="J66" i="12"/>
  <c r="J67" i="12"/>
  <c r="J68" i="12"/>
  <c r="J69" i="12"/>
  <c r="J70" i="12"/>
  <c r="J71" i="12"/>
  <c r="J72" i="12"/>
  <c r="J73" i="12"/>
  <c r="J74" i="12"/>
  <c r="J75" i="12"/>
  <c r="J76" i="12"/>
  <c r="J77" i="12"/>
  <c r="J78" i="12"/>
  <c r="J79" i="12"/>
  <c r="J80" i="12"/>
  <c r="J81" i="12"/>
  <c r="J82" i="12"/>
  <c r="J83" i="12"/>
  <c r="J84" i="12"/>
  <c r="J85" i="12"/>
  <c r="J86" i="12"/>
  <c r="J87" i="12"/>
  <c r="J88" i="12"/>
  <c r="J89" i="12"/>
  <c r="J90" i="12"/>
  <c r="J91" i="12"/>
  <c r="J92" i="12"/>
  <c r="J93" i="12"/>
  <c r="J94" i="12"/>
  <c r="J95" i="12"/>
  <c r="J96" i="12"/>
  <c r="J97" i="12"/>
  <c r="J98" i="12"/>
  <c r="J99" i="12"/>
  <c r="J100" i="12"/>
  <c r="J101" i="12"/>
  <c r="J102" i="12"/>
  <c r="J103" i="12"/>
  <c r="J104" i="12"/>
  <c r="J105" i="12"/>
  <c r="J106" i="12"/>
  <c r="J107" i="12"/>
  <c r="J108" i="12"/>
  <c r="J109" i="12"/>
  <c r="J110" i="12"/>
  <c r="J111" i="12"/>
  <c r="J112" i="12"/>
  <c r="J113" i="12"/>
  <c r="J114" i="12"/>
  <c r="J115" i="12"/>
  <c r="J116" i="12"/>
  <c r="J117" i="12"/>
  <c r="J118" i="12"/>
  <c r="J119" i="12"/>
  <c r="J120" i="12"/>
  <c r="J121" i="12"/>
  <c r="J122" i="12"/>
  <c r="J123" i="12"/>
  <c r="J124" i="12"/>
  <c r="J125" i="12"/>
  <c r="J126" i="12"/>
  <c r="J127" i="12"/>
  <c r="J128" i="12"/>
  <c r="J129" i="12"/>
  <c r="J130" i="12"/>
  <c r="J131" i="12"/>
  <c r="J132" i="12"/>
  <c r="J133" i="12"/>
  <c r="J134" i="12"/>
  <c r="J135" i="12"/>
  <c r="J136" i="12"/>
  <c r="J137" i="12"/>
  <c r="J138" i="12"/>
  <c r="J139" i="12"/>
  <c r="J140" i="12"/>
  <c r="J141" i="12"/>
  <c r="J142" i="12"/>
  <c r="J143" i="12"/>
  <c r="J144" i="12"/>
  <c r="J145" i="12"/>
  <c r="J146" i="12"/>
  <c r="J147" i="12"/>
  <c r="J148" i="12"/>
  <c r="J149" i="12"/>
  <c r="J150" i="12"/>
  <c r="J151" i="12"/>
  <c r="J152" i="12"/>
  <c r="J153" i="12"/>
  <c r="J154" i="12"/>
  <c r="J155" i="12"/>
  <c r="J156" i="12"/>
  <c r="J157" i="12"/>
  <c r="J3" i="12"/>
  <c r="I4" i="12"/>
  <c r="I5" i="12"/>
  <c r="I6" i="12"/>
  <c r="I7" i="12"/>
  <c r="I8" i="12"/>
  <c r="I9" i="12"/>
  <c r="I10" i="12"/>
  <c r="I11" i="12"/>
  <c r="I12" i="12"/>
  <c r="I13" i="12"/>
  <c r="I14" i="12"/>
  <c r="I15" i="12"/>
  <c r="I16" i="12"/>
  <c r="I17" i="12"/>
  <c r="I18" i="12"/>
  <c r="I19" i="12"/>
  <c r="I20" i="12"/>
  <c r="I21" i="12"/>
  <c r="I22" i="12"/>
  <c r="I23" i="12"/>
  <c r="I24" i="12"/>
  <c r="I25" i="12"/>
  <c r="I26" i="12"/>
  <c r="I27" i="12"/>
  <c r="I28" i="12"/>
  <c r="I29" i="12"/>
  <c r="I30" i="12"/>
  <c r="I31" i="12"/>
  <c r="I32" i="12"/>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I129" i="12"/>
  <c r="I130" i="12"/>
  <c r="I131" i="12"/>
  <c r="I132" i="12"/>
  <c r="I133" i="12"/>
  <c r="I134" i="12"/>
  <c r="I135" i="12"/>
  <c r="I136" i="12"/>
  <c r="I137" i="12"/>
  <c r="I138" i="12"/>
  <c r="I139" i="12"/>
  <c r="I140" i="12"/>
  <c r="I141" i="12"/>
  <c r="I142" i="12"/>
  <c r="I143" i="12"/>
  <c r="I144" i="12"/>
  <c r="I145" i="12"/>
  <c r="I146" i="12"/>
  <c r="I147" i="12"/>
  <c r="I148" i="12"/>
  <c r="I149" i="12"/>
  <c r="I150" i="12"/>
  <c r="I151" i="12"/>
  <c r="I152" i="12"/>
  <c r="I153" i="12"/>
  <c r="I154" i="12"/>
  <c r="I155" i="12"/>
  <c r="I156" i="12"/>
  <c r="I157" i="12"/>
  <c r="I3" i="12"/>
  <c r="H4" i="12"/>
  <c r="H5" i="12"/>
  <c r="H6" i="12"/>
  <c r="H7" i="12"/>
  <c r="H8" i="12"/>
  <c r="H9" i="12"/>
  <c r="H10" i="12"/>
  <c r="H11" i="12"/>
  <c r="H12" i="12"/>
  <c r="H13" i="12"/>
  <c r="H14" i="12"/>
  <c r="H15" i="12"/>
  <c r="H16" i="12"/>
  <c r="H17" i="12"/>
  <c r="H18" i="12"/>
  <c r="H19" i="12"/>
  <c r="H20" i="12"/>
  <c r="H21" i="12"/>
  <c r="H22" i="12"/>
  <c r="H23" i="12"/>
  <c r="H24"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59" i="12"/>
  <c r="H60" i="12"/>
  <c r="H61" i="12"/>
  <c r="H62" i="12"/>
  <c r="H63" i="12"/>
  <c r="H64" i="12"/>
  <c r="H65" i="12"/>
  <c r="H66" i="12"/>
  <c r="H67" i="12"/>
  <c r="H68" i="12"/>
  <c r="H69" i="12"/>
  <c r="H70" i="12"/>
  <c r="H71" i="12"/>
  <c r="H72" i="12"/>
  <c r="H73" i="12"/>
  <c r="H74" i="12"/>
  <c r="H75" i="12"/>
  <c r="H76" i="12"/>
  <c r="H77" i="12"/>
  <c r="H78" i="12"/>
  <c r="H79" i="12"/>
  <c r="H80" i="12"/>
  <c r="H81" i="12"/>
  <c r="H82" i="12"/>
  <c r="H83" i="12"/>
  <c r="H84" i="12"/>
  <c r="H85" i="12"/>
  <c r="H86" i="12"/>
  <c r="H87" i="12"/>
  <c r="H88" i="12"/>
  <c r="H89" i="12"/>
  <c r="H90" i="12"/>
  <c r="H91" i="12"/>
  <c r="H92" i="12"/>
  <c r="H93" i="12"/>
  <c r="H94" i="12"/>
  <c r="H95" i="12"/>
  <c r="H96" i="12"/>
  <c r="H97" i="12"/>
  <c r="H98" i="12"/>
  <c r="H99" i="12"/>
  <c r="H100" i="12"/>
  <c r="H101" i="12"/>
  <c r="H102" i="12"/>
  <c r="H103" i="12"/>
  <c r="H104" i="12"/>
  <c r="H105" i="12"/>
  <c r="H106" i="12"/>
  <c r="H107" i="12"/>
  <c r="H108" i="12"/>
  <c r="H109" i="12"/>
  <c r="H110" i="12"/>
  <c r="H111" i="12"/>
  <c r="H112" i="12"/>
  <c r="H113" i="12"/>
  <c r="H114" i="12"/>
  <c r="H115" i="12"/>
  <c r="H116" i="12"/>
  <c r="H117" i="12"/>
  <c r="H118" i="12"/>
  <c r="H119" i="12"/>
  <c r="H120" i="12"/>
  <c r="H121" i="12"/>
  <c r="H122" i="12"/>
  <c r="H123" i="12"/>
  <c r="H124" i="12"/>
  <c r="H125" i="12"/>
  <c r="H126" i="12"/>
  <c r="H127" i="12"/>
  <c r="H128" i="12"/>
  <c r="H129" i="12"/>
  <c r="H130" i="12"/>
  <c r="H131" i="12"/>
  <c r="H132" i="12"/>
  <c r="H133" i="12"/>
  <c r="H134" i="12"/>
  <c r="H135" i="12"/>
  <c r="H136" i="12"/>
  <c r="H137" i="12"/>
  <c r="H138" i="12"/>
  <c r="H139" i="12"/>
  <c r="H140" i="12"/>
  <c r="H141" i="12"/>
  <c r="H142" i="12"/>
  <c r="H143" i="12"/>
  <c r="H144" i="12"/>
  <c r="H145" i="12"/>
  <c r="H146" i="12"/>
  <c r="H147" i="12"/>
  <c r="H148" i="12"/>
  <c r="H149" i="12"/>
  <c r="H150" i="12"/>
  <c r="H151" i="12"/>
  <c r="H152" i="12"/>
  <c r="H153" i="12"/>
  <c r="H154" i="12"/>
  <c r="H155" i="12"/>
  <c r="H156" i="12"/>
  <c r="H157" i="12"/>
  <c r="H3" i="12"/>
  <c r="G4" i="12"/>
  <c r="G5" i="12"/>
  <c r="G6" i="12"/>
  <c r="G7" i="12"/>
  <c r="G8" i="12"/>
  <c r="G9" i="12"/>
  <c r="G10" i="12"/>
  <c r="G11" i="12"/>
  <c r="G12" i="12"/>
  <c r="G13" i="12"/>
  <c r="G14" i="12"/>
  <c r="G15" i="12"/>
  <c r="G16" i="12"/>
  <c r="G17" i="12"/>
  <c r="G18" i="12"/>
  <c r="G19" i="12"/>
  <c r="G20" i="12"/>
  <c r="G21" i="12"/>
  <c r="G22" i="12"/>
  <c r="G23" i="12"/>
  <c r="G24" i="12"/>
  <c r="G25" i="12"/>
  <c r="G26" i="12"/>
  <c r="G27" i="12"/>
  <c r="G28" i="12"/>
  <c r="G29" i="12"/>
  <c r="G30" i="12"/>
  <c r="G31" i="12"/>
  <c r="G32" i="12"/>
  <c r="G33" i="12"/>
  <c r="G34" i="12"/>
  <c r="G35" i="12"/>
  <c r="G36" i="12"/>
  <c r="G37" i="12"/>
  <c r="G38" i="12"/>
  <c r="G39" i="12"/>
  <c r="G40" i="12"/>
  <c r="G41" i="12"/>
  <c r="G42" i="12"/>
  <c r="G43" i="12"/>
  <c r="G44" i="12"/>
  <c r="G45" i="12"/>
  <c r="G46" i="12"/>
  <c r="G47" i="12"/>
  <c r="G48" i="12"/>
  <c r="G49" i="12"/>
  <c r="G50" i="12"/>
  <c r="G51" i="12"/>
  <c r="G52" i="12"/>
  <c r="G53" i="12"/>
  <c r="G54" i="12"/>
  <c r="G55" i="12"/>
  <c r="G56" i="12"/>
  <c r="G57" i="12"/>
  <c r="G58" i="12"/>
  <c r="G59" i="12"/>
  <c r="G60" i="12"/>
  <c r="G61" i="12"/>
  <c r="G62" i="12"/>
  <c r="G63" i="12"/>
  <c r="G64" i="12"/>
  <c r="G65" i="12"/>
  <c r="G66" i="12"/>
  <c r="G67" i="12"/>
  <c r="G68" i="12"/>
  <c r="G69" i="12"/>
  <c r="G70" i="12"/>
  <c r="G71" i="12"/>
  <c r="G72" i="12"/>
  <c r="G73" i="12"/>
  <c r="G74" i="12"/>
  <c r="G75" i="12"/>
  <c r="G76" i="12"/>
  <c r="G77" i="12"/>
  <c r="G78" i="12"/>
  <c r="G79" i="12"/>
  <c r="G80" i="12"/>
  <c r="G81" i="12"/>
  <c r="G82" i="12"/>
  <c r="G83" i="12"/>
  <c r="G84" i="12"/>
  <c r="G85" i="12"/>
  <c r="G86" i="12"/>
  <c r="G87" i="12"/>
  <c r="G88" i="12"/>
  <c r="G89" i="12"/>
  <c r="G90" i="12"/>
  <c r="G91" i="12"/>
  <c r="G92" i="12"/>
  <c r="G93" i="12"/>
  <c r="G94" i="12"/>
  <c r="G95" i="12"/>
  <c r="G96" i="12"/>
  <c r="G97" i="12"/>
  <c r="G98" i="12"/>
  <c r="G99" i="12"/>
  <c r="G100" i="12"/>
  <c r="G101" i="12"/>
  <c r="G102" i="12"/>
  <c r="G103" i="12"/>
  <c r="G104" i="12"/>
  <c r="G105" i="12"/>
  <c r="G106" i="12"/>
  <c r="G107" i="12"/>
  <c r="G108" i="12"/>
  <c r="G109" i="12"/>
  <c r="G110" i="12"/>
  <c r="G111" i="12"/>
  <c r="G112" i="12"/>
  <c r="G113" i="12"/>
  <c r="G114" i="12"/>
  <c r="G115" i="12"/>
  <c r="G116" i="12"/>
  <c r="G117" i="12"/>
  <c r="G118" i="12"/>
  <c r="G119" i="12"/>
  <c r="G120" i="12"/>
  <c r="G121" i="12"/>
  <c r="G122" i="12"/>
  <c r="G123" i="12"/>
  <c r="G124" i="12"/>
  <c r="G125" i="12"/>
  <c r="G126" i="12"/>
  <c r="G127" i="12"/>
  <c r="G128" i="12"/>
  <c r="G129" i="12"/>
  <c r="G130" i="12"/>
  <c r="G131" i="12"/>
  <c r="G132" i="12"/>
  <c r="G133" i="12"/>
  <c r="G134" i="12"/>
  <c r="G135" i="12"/>
  <c r="G136" i="12"/>
  <c r="G137" i="12"/>
  <c r="G138" i="12"/>
  <c r="G139" i="12"/>
  <c r="G140" i="12"/>
  <c r="G141" i="12"/>
  <c r="G142" i="12"/>
  <c r="G143" i="12"/>
  <c r="G144" i="12"/>
  <c r="G145" i="12"/>
  <c r="G146" i="12"/>
  <c r="G147" i="12"/>
  <c r="G148" i="12"/>
  <c r="G149" i="12"/>
  <c r="G150" i="12"/>
  <c r="G151" i="12"/>
  <c r="G152" i="12"/>
  <c r="G153" i="12"/>
  <c r="G154" i="12"/>
  <c r="G155" i="12"/>
  <c r="G156" i="12"/>
  <c r="G157" i="12"/>
  <c r="G3" i="12"/>
  <c r="C14" i="13" l="1"/>
  <c r="F6" i="13"/>
  <c r="F7" i="13" s="1"/>
  <c r="J3" i="13" s="1"/>
</calcChain>
</file>

<file path=xl/sharedStrings.xml><?xml version="1.0" encoding="utf-8"?>
<sst xmlns="http://schemas.openxmlformats.org/spreadsheetml/2006/main" count="5552" uniqueCount="744">
  <si>
    <t>Order ID</t>
  </si>
  <si>
    <t>Order Date</t>
  </si>
  <si>
    <t>Customer ID</t>
  </si>
  <si>
    <t>Segment</t>
  </si>
  <si>
    <t>City</t>
  </si>
  <si>
    <t>State</t>
  </si>
  <si>
    <t>Region</t>
  </si>
  <si>
    <t>Category</t>
  </si>
  <si>
    <t>Sub-Category</t>
  </si>
  <si>
    <t>Sales</t>
  </si>
  <si>
    <t>Quantity</t>
  </si>
  <si>
    <t>Discount</t>
  </si>
  <si>
    <t>Profit</t>
  </si>
  <si>
    <t>CG-12520</t>
  </si>
  <si>
    <t>South</t>
  </si>
  <si>
    <t>Furniture</t>
  </si>
  <si>
    <t>Bookcases</t>
  </si>
  <si>
    <t>Chairs</t>
  </si>
  <si>
    <t>Corporate</t>
  </si>
  <si>
    <t>Los Angeles</t>
  </si>
  <si>
    <t>California</t>
  </si>
  <si>
    <t>West</t>
  </si>
  <si>
    <t>Labels</t>
  </si>
  <si>
    <t>SO-20335</t>
  </si>
  <si>
    <t>Florida</t>
  </si>
  <si>
    <t>Tables</t>
  </si>
  <si>
    <t>OFF-ST-10000760</t>
  </si>
  <si>
    <t>Storage</t>
  </si>
  <si>
    <t>Eldon Fold 'N Roll Cart System</t>
  </si>
  <si>
    <t>BH-11710</t>
  </si>
  <si>
    <t>FUR-FU-10001487</t>
  </si>
  <si>
    <t>Furnishings</t>
  </si>
  <si>
    <t>Eldon Expressions Wood and Plastic Desk Accessories, Cherry Wood</t>
  </si>
  <si>
    <t>Art</t>
  </si>
  <si>
    <t>TEC-PH-10002275</t>
  </si>
  <si>
    <t>Technology</t>
  </si>
  <si>
    <t>Phones</t>
  </si>
  <si>
    <t>Mitel 5320 IP Phone VoIP phone</t>
  </si>
  <si>
    <t>OFF-BI-10003910</t>
  </si>
  <si>
    <t>Binders</t>
  </si>
  <si>
    <t>DXL Angle-View Binders with Locking Rings by Samsill</t>
  </si>
  <si>
    <t>Appliances</t>
  </si>
  <si>
    <t>North Carolina</t>
  </si>
  <si>
    <t>Paper</t>
  </si>
  <si>
    <t>Seattle</t>
  </si>
  <si>
    <t>Washington</t>
  </si>
  <si>
    <t>HP-14815</t>
  </si>
  <si>
    <t>Home Office</t>
  </si>
  <si>
    <t>Central</t>
  </si>
  <si>
    <t>Wisconsin</t>
  </si>
  <si>
    <t>San Francisco</t>
  </si>
  <si>
    <t>OFF-AP-10001492</t>
  </si>
  <si>
    <t>Acco Six-Outlet Power Strip, 4' Cord Length</t>
  </si>
  <si>
    <t>Philadelphia</t>
  </si>
  <si>
    <t>Pennsylvania</t>
  </si>
  <si>
    <t>East</t>
  </si>
  <si>
    <t>EB-13870</t>
  </si>
  <si>
    <t>TEC-AC-10003027</t>
  </si>
  <si>
    <t>Accessories</t>
  </si>
  <si>
    <t>Imation 8GB Mini TravelDrive USB 2.0 Flash Drive</t>
  </si>
  <si>
    <t>OFF-BI-10000474</t>
  </si>
  <si>
    <t>Avery Recycled Flexi-View Covers for Binding Systems</t>
  </si>
  <si>
    <t>OFF-EN-10001509</t>
  </si>
  <si>
    <t>Envelopes</t>
  </si>
  <si>
    <t>Poly String Tie Envelopes</t>
  </si>
  <si>
    <t>Houston</t>
  </si>
  <si>
    <t>Illinois</t>
  </si>
  <si>
    <t>OFF-BI-10003291</t>
  </si>
  <si>
    <t>Wilson Jones Leather-Like Binders with DublLock Round Rings</t>
  </si>
  <si>
    <t>Michigan</t>
  </si>
  <si>
    <t>Indiana</t>
  </si>
  <si>
    <t>New York City</t>
  </si>
  <si>
    <t>New York</t>
  </si>
  <si>
    <t>Fasteners</t>
  </si>
  <si>
    <t>Chicago</t>
  </si>
  <si>
    <t>Arizona</t>
  </si>
  <si>
    <t>Springfield</t>
  </si>
  <si>
    <t>Jackson</t>
  </si>
  <si>
    <t>OFF-PA-10004675</t>
  </si>
  <si>
    <t>Telephone Message Books with Fax/Mobile Section, 5 1/2" x 3 3/16"</t>
  </si>
  <si>
    <t>Tennessee</t>
  </si>
  <si>
    <t>OFF-ST-10000615</t>
  </si>
  <si>
    <t>SimpliFile Personal File, Black Granite, 15w x 6-15/16d x 11-1/4h</t>
  </si>
  <si>
    <t>Alabama</t>
  </si>
  <si>
    <t>OFF-AR-10002053</t>
  </si>
  <si>
    <t>Premium Writing Pencils, Soft, #2 by Central Association for the Blind</t>
  </si>
  <si>
    <t>FUR-CH-10000863</t>
  </si>
  <si>
    <t>Novimex Swivel Fabric Task Chair</t>
  </si>
  <si>
    <t>Aurora</t>
  </si>
  <si>
    <t>Colorado</t>
  </si>
  <si>
    <t>JM-15250</t>
  </si>
  <si>
    <t>Charlotte</t>
  </si>
  <si>
    <t>CV-12805</t>
  </si>
  <si>
    <t>Iowa</t>
  </si>
  <si>
    <t>Columbus</t>
  </si>
  <si>
    <t>Ohio</t>
  </si>
  <si>
    <t>OFF-EN-10002504</t>
  </si>
  <si>
    <t>Tyvek  Top-Opening Peel &amp; Seel Envelopes, Plain White</t>
  </si>
  <si>
    <t>SC-20725</t>
  </si>
  <si>
    <t>FUR-FU-10002157</t>
  </si>
  <si>
    <t>Artistic Insta-Plaque</t>
  </si>
  <si>
    <t>AD-10180</t>
  </si>
  <si>
    <t>Staples</t>
  </si>
  <si>
    <t>OFF-PA-10001804</t>
  </si>
  <si>
    <t>Xerox 195</t>
  </si>
  <si>
    <t>Supplies</t>
  </si>
  <si>
    <t>Missouri</t>
  </si>
  <si>
    <t>Franklin</t>
  </si>
  <si>
    <t>San Jose</t>
  </si>
  <si>
    <t>OFF-ST-10001590</t>
  </si>
  <si>
    <t>Tenex Personal Project File with Scoop Front Design, Black</t>
  </si>
  <si>
    <t>OFF-AR-10001547</t>
  </si>
  <si>
    <t>Newell 311</t>
  </si>
  <si>
    <t>Staple envelope</t>
  </si>
  <si>
    <t>TEC-MA-10000822</t>
  </si>
  <si>
    <t>Machines</t>
  </si>
  <si>
    <t>Lexmark MX611dhe Monochrome Laser Printer</t>
  </si>
  <si>
    <t>TEC-PH-10003931</t>
  </si>
  <si>
    <t>JBL Micro Wireless Portable Bluetooth Speaker</t>
  </si>
  <si>
    <t>Connecticut</t>
  </si>
  <si>
    <t>OFF-BI-10001890</t>
  </si>
  <si>
    <t>Avery Poly Binder Pockets</t>
  </si>
  <si>
    <t>OFF-BI-10000343</t>
  </si>
  <si>
    <t>Pressboard Covers with Storage Hooks, 9 1/2" x 11", Light Blue</t>
  </si>
  <si>
    <t>Dallas</t>
  </si>
  <si>
    <t>Detroit</t>
  </si>
  <si>
    <t>DB-13120</t>
  </si>
  <si>
    <t>OFF-AP-10002945</t>
  </si>
  <si>
    <t>Honeywell Enviracaire Portable HEPA Air Cleaner for 17' x 22' Room</t>
  </si>
  <si>
    <t>DL-13315</t>
  </si>
  <si>
    <t>TEC-AC-10004469</t>
  </si>
  <si>
    <t>Microsoft Sculpt Comfort Mouse</t>
  </si>
  <si>
    <t>OFF-AR-10003602</t>
  </si>
  <si>
    <t>Quartet Omega Colored Chalk, 12/Pack</t>
  </si>
  <si>
    <t>OFF-FA-10003472</t>
  </si>
  <si>
    <t>Bagged Rubber Bands</t>
  </si>
  <si>
    <t>TEC-AC-10003628</t>
  </si>
  <si>
    <t>Logitech 910-002974 M325 Wireless Mouse for Web Scrolling</t>
  </si>
  <si>
    <t>OFF-BI-10001072</t>
  </si>
  <si>
    <t>GBC Clear Cover, 8-1/2 x 11, unpunched, 25 covers per pack</t>
  </si>
  <si>
    <t>Long Beach</t>
  </si>
  <si>
    <t>TEC-PH-10004614</t>
  </si>
  <si>
    <t>AT&amp;T 841000 Phone</t>
  </si>
  <si>
    <t>Copiers</t>
  </si>
  <si>
    <t>Austin</t>
  </si>
  <si>
    <t>Massachusetts</t>
  </si>
  <si>
    <t>OFF-PA-10001970</t>
  </si>
  <si>
    <t>Xerox 1881</t>
  </si>
  <si>
    <t>OFF-BI-10004995</t>
  </si>
  <si>
    <t>GBC DocuBind P400 Electric Binding System</t>
  </si>
  <si>
    <t>Georgia</t>
  </si>
  <si>
    <t>Tucson</t>
  </si>
  <si>
    <t>Quincy</t>
  </si>
  <si>
    <t>Des Moines</t>
  </si>
  <si>
    <t>OFF-BI-10003982</t>
  </si>
  <si>
    <t>Wilson Jones Century Plastic Molded Ring Binders</t>
  </si>
  <si>
    <t>Miami</t>
  </si>
  <si>
    <t>OFF-PA-10000157</t>
  </si>
  <si>
    <t>Xerox 191</t>
  </si>
  <si>
    <t>CJ-12010</t>
  </si>
  <si>
    <t>Richmond</t>
  </si>
  <si>
    <t>OFF-BI-10004584</t>
  </si>
  <si>
    <t>GBC ProClick 150 Presentation Binding System</t>
  </si>
  <si>
    <t>Jacksonville</t>
  </si>
  <si>
    <t>CA-2017-157252</t>
  </si>
  <si>
    <t>FUR-CH-10003396</t>
  </si>
  <si>
    <t>Global Deluxe Steno Chair</t>
  </si>
  <si>
    <t>SC-20095</t>
  </si>
  <si>
    <t>OFF-BI-10001098</t>
  </si>
  <si>
    <t>Acco D-Ring Binder w/DublLock</t>
  </si>
  <si>
    <t>OFF-ST-10002743</t>
  </si>
  <si>
    <t>SAFCO Boltless Steel Shelving</t>
  </si>
  <si>
    <t>TEC-AC-10001445</t>
  </si>
  <si>
    <t>Imation USB 2.0 Swivel Flash Drive USB flash drive - 4 GB - Pink</t>
  </si>
  <si>
    <t>TEC-PH-10001924</t>
  </si>
  <si>
    <t>iHome FM Clock Radio with Lightning Dock</t>
  </si>
  <si>
    <t>Huntsville</t>
  </si>
  <si>
    <t>FUR-TA-10001857</t>
  </si>
  <si>
    <t>Balt Solid Wood Rectangular Table</t>
  </si>
  <si>
    <t>Costa Mesa</t>
  </si>
  <si>
    <t>OFF-BI-10002498</t>
  </si>
  <si>
    <t>Clear Mylar Reinforcing Strips</t>
  </si>
  <si>
    <t>CM-12385</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</si>
  <si>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</si>
  <si>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</si>
  <si>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</si>
  <si>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</si>
  <si>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</si>
  <si>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</si>
  <si>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</si>
  <si>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</si>
  <si>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</si>
  <si>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</si>
  <si>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</si>
  <si>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OFF-ST-10000736</t>
  </si>
  <si>
    <t>Carina Double Wide Media Storage Towers in Natural &amp; Black</t>
  </si>
  <si>
    <t>CA-2017-145142</t>
  </si>
  <si>
    <t>MC-17605</t>
  </si>
  <si>
    <t>OFF-SU-10002881</t>
  </si>
  <si>
    <t>Martin Yale Chadless Opener Electric Letter Opener</t>
  </si>
  <si>
    <t>BD-11500</t>
  </si>
  <si>
    <t>JF-15490</t>
  </si>
  <si>
    <t>OFF-AR-10004078</t>
  </si>
  <si>
    <t>Newell 312</t>
  </si>
  <si>
    <t>OFF-AP-10004708</t>
  </si>
  <si>
    <t>Fellowes Superior 10 Outlet Split Surge Protector</t>
  </si>
  <si>
    <t>TP-21130</t>
  </si>
  <si>
    <t>CK-12595</t>
  </si>
  <si>
    <t>FUR-FU-10000010</t>
  </si>
  <si>
    <t>DAX Value U-Channel Document Frames, Easel Back</t>
  </si>
  <si>
    <t>OFF-BI-10004728</t>
  </si>
  <si>
    <t>Wilson Jones Turn Tabs Binder Tool for Ring Binders</t>
  </si>
  <si>
    <t>OFF-FA-10003112</t>
  </si>
  <si>
    <t>OFF-EN-10002230</t>
  </si>
  <si>
    <t>Airmail Envelopes</t>
  </si>
  <si>
    <t>EH-14125</t>
  </si>
  <si>
    <t>OFF-ST-10001511</t>
  </si>
  <si>
    <t>Space Solutions Commercial Steel Shelving</t>
  </si>
  <si>
    <t>OFF-SU-10004231</t>
  </si>
  <si>
    <t>Acme Tagit Stainless Steel Antibacterial Scissors</t>
  </si>
  <si>
    <t>FUR-FU-10002759</t>
  </si>
  <si>
    <t>12-1/2 Diameter Round Wall Clock</t>
  </si>
  <si>
    <t>RB-19570</t>
  </si>
  <si>
    <t>OFF-BI-10004632</t>
  </si>
  <si>
    <t>Ibico Hi-Tech Manual Binding System</t>
  </si>
  <si>
    <t>Burlington</t>
  </si>
  <si>
    <t>OFF-EN-10001219</t>
  </si>
  <si>
    <t>#10- 4 1/8" x 9 1/2" Security-Tint Envelopes</t>
  </si>
  <si>
    <t>CA-2017-131954</t>
  </si>
  <si>
    <t>DS-13030</t>
  </si>
  <si>
    <t>TEC-AC-10003610</t>
  </si>
  <si>
    <t>Logitech Illuminated - Keyboard</t>
  </si>
  <si>
    <t>FUR-BO-10001619</t>
  </si>
  <si>
    <t>O'Sullivan Cherrywood Estates Traditional Bookcase</t>
  </si>
  <si>
    <t>OFF-BI-10000138</t>
  </si>
  <si>
    <t>Acco Translucent Poly Ring Binders</t>
  </si>
  <si>
    <t>OFF-BI-10000546</t>
  </si>
  <si>
    <t>Avery Durable Binders</t>
  </si>
  <si>
    <t>CS-12250</t>
  </si>
  <si>
    <t>CA-2017-104220</t>
  </si>
  <si>
    <t>BV-11245</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</si>
  <si>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</si>
  <si>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</si>
  <si>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</si>
  <si>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</si>
  <si>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</si>
  <si>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</si>
  <si>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</si>
  <si>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</si>
  <si>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DL-12865</t>
  </si>
  <si>
    <t>FUR-CH-10003199</t>
  </si>
  <si>
    <t>Office Star - Contemporary Task Swivel Chair</t>
  </si>
  <si>
    <t>OFF-PA-10000176</t>
  </si>
  <si>
    <t>Xerox 1887</t>
  </si>
  <si>
    <t>BW-11110</t>
  </si>
  <si>
    <t>CA-2017-107503</t>
  </si>
  <si>
    <t>GA-14725</t>
  </si>
  <si>
    <t>Lorain</t>
  </si>
  <si>
    <t>FUR-FU-10003878</t>
  </si>
  <si>
    <t>Linden 10" Round Wall Clock, Black</t>
  </si>
  <si>
    <t>Staple magnet</t>
  </si>
  <si>
    <t>LS-16945</t>
  </si>
  <si>
    <t>OFF-BI-10000545</t>
  </si>
  <si>
    <t>GBC Ibimaster 500 Manual ProClick Binding System</t>
  </si>
  <si>
    <t>TEC-AC-10002049</t>
  </si>
  <si>
    <t>Logitech G19 Programmable Gaming Keyboard</t>
  </si>
  <si>
    <t>TEC-AC-10000927</t>
  </si>
  <si>
    <t xml:space="preserve">Anker Ultrathin Bluetooth Wireless Keyboard Aluminum Cover with Stand </t>
  </si>
  <si>
    <t>OFF-AR-10003158</t>
  </si>
  <si>
    <t>Fluorescent Highlighters by Dixon</t>
  </si>
  <si>
    <t>OFF-LA-10001045</t>
  </si>
  <si>
    <t>Permanent Self-Adhesive File Folder Labels for Typewriters by Universal</t>
  </si>
  <si>
    <t>OFF-PA-10000019</t>
  </si>
  <si>
    <t>Xerox 1931</t>
  </si>
  <si>
    <t>FUR-TA-10001520</t>
  </si>
  <si>
    <t>Lesro Sheffield Collection Coffee Table, End Table, Center Table, Corner Table</t>
  </si>
  <si>
    <t>OFF-BI-10000145</t>
  </si>
  <si>
    <t>Zipper Ring Binder Pockets</t>
  </si>
  <si>
    <t>OFF-LA-10001613</t>
  </si>
  <si>
    <t>Avery File Folder Labels</t>
  </si>
  <si>
    <t>OFF-PA-10004621</t>
  </si>
  <si>
    <t>Xerox 212</t>
  </si>
  <si>
    <t>OFF-BI-10002012</t>
  </si>
  <si>
    <t>Wilson Jones Easy Flow II Sheet Lifters</t>
  </si>
  <si>
    <t>CA-2017-159366</t>
  </si>
  <si>
    <t>RW-19690</t>
  </si>
  <si>
    <t>OFF-PA-10004156</t>
  </si>
  <si>
    <t>Xerox 188</t>
  </si>
  <si>
    <t>RD-19585</t>
  </si>
  <si>
    <t>VG-21790</t>
  </si>
  <si>
    <t>District of Columbia</t>
  </si>
  <si>
    <t>Staples in misc. colors</t>
  </si>
  <si>
    <t>FUR-CH-10000309</t>
  </si>
  <si>
    <t>Global Comet Stacking Arm Chair</t>
  </si>
  <si>
    <t>HR-14770</t>
  </si>
  <si>
    <t>OFF-BI-10001597</t>
  </si>
  <si>
    <t>Wilson Jones Ledger-Size, Piano-Hinge Binder, 2", Blue</t>
  </si>
  <si>
    <t>OFF-BI-10003727</t>
  </si>
  <si>
    <t>Avery Durable Slant Ring Binders With Label Holder</t>
  </si>
  <si>
    <t>CA-2017-160423</t>
  </si>
  <si>
    <t>PS-19045</t>
  </si>
  <si>
    <t>OFF-ST-10004340</t>
  </si>
  <si>
    <t>Fellowes Mobile File Cart, Black</t>
  </si>
  <si>
    <t>OFF-BI-10004001</t>
  </si>
  <si>
    <t>GBC Recycled VeloBinder Covers</t>
  </si>
  <si>
    <t>OFF-AR-10001545</t>
  </si>
  <si>
    <t>Newell 326</t>
  </si>
  <si>
    <t>OFF-PA-10004735</t>
  </si>
  <si>
    <t>Xerox 1905</t>
  </si>
  <si>
    <t>OFF-AR-10003759</t>
  </si>
  <si>
    <t>Crayola Anti Dust Chalk, 12/Pack</t>
  </si>
  <si>
    <t>OFF-BI-10003694</t>
  </si>
  <si>
    <t>Avery 3 1/2" Diskette Storage Pages, 10/Pack</t>
  </si>
  <si>
    <t>CA-2017-138779</t>
  </si>
  <si>
    <t>TEC-PH-10003655</t>
  </si>
  <si>
    <t>Sannysis Cute Owl Design Soft Skin Case Cover for Samsung Galaxy S4</t>
  </si>
  <si>
    <t>MH-18115</t>
  </si>
  <si>
    <t>TEC-AC-10000580</t>
  </si>
  <si>
    <t>Logitech G13 Programmable Gameboard with LCD Display</t>
  </si>
  <si>
    <t>BD-11770</t>
  </si>
  <si>
    <t>LP-17095</t>
  </si>
  <si>
    <t>CP-12085</t>
  </si>
  <si>
    <t>JF-15190</t>
  </si>
  <si>
    <t>CA-2017-113481</t>
  </si>
  <si>
    <t>AS-10045</t>
  </si>
  <si>
    <t>TEC-MA-10002178</t>
  </si>
  <si>
    <t>Cisco CP-7937G Unified IP Conference Station Phone</t>
  </si>
  <si>
    <t>BP-11290</t>
  </si>
  <si>
    <t>SZ-20035</t>
  </si>
  <si>
    <t>OFF-PA-10000806</t>
  </si>
  <si>
    <t>Xerox 1934</t>
  </si>
  <si>
    <t>Smyrna</t>
  </si>
  <si>
    <t>OFF-FA-10000053</t>
  </si>
  <si>
    <t>Revere Boxed Rubber Bands by Revere</t>
  </si>
  <si>
    <t>FUR-TA-10002958</t>
  </si>
  <si>
    <t>Bevis Oval Conference Table, Walnut</t>
  </si>
  <si>
    <t>CA-2017-115994</t>
  </si>
  <si>
    <t>BT-11305</t>
  </si>
  <si>
    <t>FUR-FU-10003976</t>
  </si>
  <si>
    <t>DAX Executive Solid Wood Document Frame, Desktop or Hang, Mahogany, 5 x 7</t>
  </si>
  <si>
    <t>OFF-PA-10003673</t>
  </si>
  <si>
    <t>Strathmore Photo Mount Cards</t>
  </si>
  <si>
    <t>MM-17920</t>
  </si>
  <si>
    <t>TS-21085</t>
  </si>
  <si>
    <t>KD-16495</t>
  </si>
  <si>
    <t>OFF-PA-10002262</t>
  </si>
  <si>
    <t>Xerox 192</t>
  </si>
  <si>
    <t>AR-10540</t>
  </si>
  <si>
    <t>OFF-AR-10001955</t>
  </si>
  <si>
    <t>Newell 319</t>
  </si>
  <si>
    <t>OFF-AR-10003504</t>
  </si>
  <si>
    <t>Newell 347</t>
  </si>
  <si>
    <t>El Paso</t>
  </si>
  <si>
    <t>TEC-PH-10000169</t>
  </si>
  <si>
    <t>ARKON Windshield Dashboard Air Vent Car Mount Holder</t>
  </si>
  <si>
    <t>TT-21460</t>
  </si>
  <si>
    <t>DP-13390</t>
  </si>
  <si>
    <t>Kent</t>
  </si>
  <si>
    <t>OFF-FA-10000611</t>
  </si>
  <si>
    <t>Binder Clips by OIC</t>
  </si>
  <si>
    <t>CA-2017-161809</t>
  </si>
  <si>
    <t>TH-21100</t>
  </si>
  <si>
    <t>TEC-PH-10004922</t>
  </si>
  <si>
    <t>RCA Visys Integrated PBX 8-Line Router</t>
  </si>
  <si>
    <t>NS-18505</t>
  </si>
  <si>
    <t>OFF-AP-10000828</t>
  </si>
  <si>
    <t>Avanti 4.4 Cu. Ft. Refrigerator</t>
  </si>
  <si>
    <t>DA-13450</t>
  </si>
  <si>
    <t>TEC-PH-10001817</t>
  </si>
  <si>
    <t>Wilson Electronics DB Pro Signal Booster</t>
  </si>
  <si>
    <t>RM-19375</t>
  </si>
  <si>
    <t>Kansas</t>
  </si>
  <si>
    <t>US-2017-158512</t>
  </si>
  <si>
    <t>FUR-FU-10004973</t>
  </si>
  <si>
    <t>Flat Face Poster Frame</t>
  </si>
  <si>
    <t>OFF-AR-10003631</t>
  </si>
  <si>
    <t>OFF-EN-10002621</t>
  </si>
  <si>
    <t>CA-2017-154718</t>
  </si>
  <si>
    <t>Keller</t>
  </si>
  <si>
    <t>OFF-LA-10003714</t>
  </si>
  <si>
    <t>Avery 510</t>
  </si>
  <si>
    <t>OFF-BI-10001757</t>
  </si>
  <si>
    <t>Pressboard Hanging Data Binders for Unburst Sheets</t>
  </si>
  <si>
    <t>FUR-FU-10001037</t>
  </si>
  <si>
    <t>DAX Charcoal/Nickel-Tone Document Frame, 5 x 7</t>
  </si>
  <si>
    <t>EH-13765</t>
  </si>
  <si>
    <t>OFF-ST-10002562</t>
  </si>
  <si>
    <t>Johnson City</t>
  </si>
  <si>
    <t>OFF-FA-10002975</t>
  </si>
  <si>
    <t>TEC-AC-10002800</t>
  </si>
  <si>
    <t>Plantronics Audio 478 Stereo USB Headset</t>
  </si>
  <si>
    <t>Rancho Cucamonga</t>
  </si>
  <si>
    <t>OFF-ST-10003638</t>
  </si>
  <si>
    <t>Mobile Personal File Cube</t>
  </si>
  <si>
    <t>US-2017-168690</t>
  </si>
  <si>
    <t>Ormond Beach</t>
  </si>
  <si>
    <t>OFF-SU-10001664</t>
  </si>
  <si>
    <t>Acme Office Executive Series Stainless Steel Trimmers</t>
  </si>
  <si>
    <t>CA-2017-117870</t>
  </si>
  <si>
    <t>JH-15820</t>
  </si>
  <si>
    <t>OFF-BI-10004506</t>
  </si>
  <si>
    <t>Wilson Jones data.warehouse D-Ring Binders with DublLock</t>
  </si>
  <si>
    <t>ML-17410</t>
  </si>
  <si>
    <t>Marion</t>
  </si>
  <si>
    <t>Vermont</t>
  </si>
  <si>
    <t>OFF-AR-10000817</t>
  </si>
  <si>
    <t>Manco Dry-Lighter Erasable Highlighter</t>
  </si>
  <si>
    <t>TG-21310</t>
  </si>
  <si>
    <t>CA-2017-115154</t>
  </si>
  <si>
    <t>RS-19420</t>
  </si>
  <si>
    <t>FUR-TA-10001950</t>
  </si>
  <si>
    <t>Balt Solid Wood Round Tables</t>
  </si>
  <si>
    <t>CA-2017-119669</t>
  </si>
  <si>
    <t>CA-2017-144589</t>
  </si>
  <si>
    <t>TM-21010</t>
  </si>
  <si>
    <t>TEC-PH-10003072</t>
  </si>
  <si>
    <t>Panasonic KX-TG9541B DECT 6.0 Digital 2-Line Expandable Cordless Phone With Digital Answering System</t>
  </si>
  <si>
    <t>OFF-PA-10004983</t>
  </si>
  <si>
    <t>Xerox 23</t>
  </si>
  <si>
    <t>TEC-AC-10000682</t>
  </si>
  <si>
    <t>Kensington K72356US Mouse-in-a-Box USB Desktop Mouse</t>
  </si>
  <si>
    <t>TB-21250</t>
  </si>
  <si>
    <t>CL-12700</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</si>
  <si>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</si>
  <si>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</si>
  <si>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</si>
  <si>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</si>
  <si>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</si>
  <si>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</si>
  <si>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</si>
  <si>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OFF-BI-10002003</t>
  </si>
  <si>
    <t>Ibico Presentation Index for Binding Systems</t>
  </si>
  <si>
    <t>BE-11410</t>
  </si>
  <si>
    <t>Hoover</t>
  </si>
  <si>
    <t>CA-2017-167752</t>
  </si>
  <si>
    <t>OFF-AP-10000159</t>
  </si>
  <si>
    <t>Belkin F9M820V08 8 Outlet Surge</t>
  </si>
  <si>
    <t>CA-2017-134649</t>
  </si>
  <si>
    <t>CA-11965</t>
  </si>
  <si>
    <t>OFF-ST-10002615</t>
  </si>
  <si>
    <t>Dual Level, Single-Width Filing Carts</t>
  </si>
  <si>
    <t>CA-2017-164329</t>
  </si>
  <si>
    <t>FUR-FU-10002116</t>
  </si>
  <si>
    <t>Tenex Carpeted, Granite-Look or Clear Contemporary Contour Shape Chair Mats</t>
  </si>
  <si>
    <t>TEC-PH-10001459</t>
  </si>
  <si>
    <t>Samsung Galaxy Mega 6.3</t>
  </si>
  <si>
    <t>GB-14575</t>
  </si>
  <si>
    <t>OFF-PA-10003848</t>
  </si>
  <si>
    <t>Xerox 1997</t>
  </si>
  <si>
    <t>OFF-AR-10001216</t>
  </si>
  <si>
    <t>Newell 339</t>
  </si>
  <si>
    <t>OFF-ST-10002301</t>
  </si>
  <si>
    <t>Tennsco Commercial Shelving</t>
  </si>
  <si>
    <t>JO-15145</t>
  </si>
  <si>
    <t>FUR-BO-10001608</t>
  </si>
  <si>
    <t>Hon Metal Bookcases, Black</t>
  </si>
  <si>
    <t>TEC-AC-10001874</t>
  </si>
  <si>
    <t>Logitech Wireless Anywhere Mouse MX for PC and Mac</t>
  </si>
  <si>
    <t>FUR-TA-10003469</t>
  </si>
  <si>
    <t>Balt Split Level Computer Training Table</t>
  </si>
  <si>
    <t>OFF-BI-10004318</t>
  </si>
  <si>
    <t>Ibico EB-19 Dual Function Manual Binding System</t>
  </si>
  <si>
    <t>US-2017-127341</t>
  </si>
  <si>
    <t>TEC-AC-10002331</t>
  </si>
  <si>
    <t>Maxell 74 Minute CDR, 10/Pack</t>
  </si>
  <si>
    <t>CA-2017-152961</t>
  </si>
  <si>
    <t>OFF-AR-10003481</t>
  </si>
  <si>
    <t>Newell 348</t>
  </si>
  <si>
    <t>CA-2017-144463</t>
  </si>
  <si>
    <t>FUR-FU-10001215</t>
  </si>
  <si>
    <t>Howard Miller 11-1/2" Diameter Brentwood Wall Clock</t>
  </si>
  <si>
    <t>Wichita</t>
  </si>
  <si>
    <t>CA-2017-112725</t>
  </si>
  <si>
    <t>OFF-AR-10001227</t>
  </si>
  <si>
    <t>Newell 338</t>
  </si>
  <si>
    <t>US-2017-106131</t>
  </si>
  <si>
    <t>TP-21565</t>
  </si>
  <si>
    <t>TEC-PH-10000193</t>
  </si>
  <si>
    <t>Jensen SMPS-640 - speaker phone</t>
  </si>
  <si>
    <t>Waterbury</t>
  </si>
  <si>
    <t>OFF-PA-10000483</t>
  </si>
  <si>
    <t>Xerox 19</t>
  </si>
  <si>
    <t>US-2017-147984</t>
  </si>
  <si>
    <t>CA-2017-127306</t>
  </si>
  <si>
    <t>CA-2017-150931</t>
  </si>
  <si>
    <t>Tuscaloosa</t>
  </si>
  <si>
    <t>TEC-PH-10002584</t>
  </si>
  <si>
    <t>Samsung Galaxy S4</t>
  </si>
  <si>
    <t>FUR-CH-10004626</t>
  </si>
  <si>
    <t>Office Star Flex Back Scooter Chair with Aluminum Finish Frame</t>
  </si>
  <si>
    <t>CA-2017-139304</t>
  </si>
  <si>
    <t>CA-2017-160934</t>
  </si>
  <si>
    <t>US-2017-114034</t>
  </si>
  <si>
    <t>CA-2017-125913</t>
  </si>
  <si>
    <t>US-2017-120649</t>
  </si>
  <si>
    <t>CA-2017-148999</t>
  </si>
  <si>
    <t>FUR-CH-10002044</t>
  </si>
  <si>
    <t>Office Star - Contemporary Task Swivel chair with 2-way adjustable arms, Plum</t>
  </si>
  <si>
    <t>CA-2017-164098</t>
  </si>
  <si>
    <t>OFF-AR-10004010</t>
  </si>
  <si>
    <t>Hunt Boston Vacuum Mount KS Pencil Sharpener</t>
  </si>
  <si>
    <t>TEC-PH-10004100</t>
  </si>
  <si>
    <t>Griffin GC17055 Auxiliary Audio Cable</t>
  </si>
  <si>
    <t>CA-2017-108000</t>
  </si>
  <si>
    <t>TS-21655</t>
  </si>
  <si>
    <t>CA-2017-139080</t>
  </si>
  <si>
    <t>US-2017-104661</t>
  </si>
  <si>
    <t>CA-2017-138289</t>
  </si>
  <si>
    <t>OFF-PA-10001260</t>
  </si>
  <si>
    <t>TOPS Money Receipt Book, Consecutively Numbered in Red,</t>
  </si>
  <si>
    <t>US-2017-167402</t>
  </si>
  <si>
    <t>CA-2017-154466</t>
  </si>
  <si>
    <t>US-2017-166037</t>
  </si>
  <si>
    <t>OFF-SU-10004884</t>
  </si>
  <si>
    <t>Acme Galleria Hot Forged Steel Scissors with Colored Handles</t>
  </si>
  <si>
    <t>CA-2017-149076</t>
  </si>
  <si>
    <t>CA-2017-131653</t>
  </si>
  <si>
    <t>CA-2017-154760</t>
  </si>
  <si>
    <t>US-2017-104437</t>
  </si>
  <si>
    <t>US-2017-123862</t>
  </si>
  <si>
    <t>CA-2017-152079</t>
  </si>
  <si>
    <t>FW-14395</t>
  </si>
  <si>
    <t>OFF-AP-10000027</t>
  </si>
  <si>
    <t>Hoover Commercial SteamVac</t>
  </si>
  <si>
    <t>CA-2017-150469</t>
  </si>
  <si>
    <t>CA-2017-152499</t>
  </si>
  <si>
    <t>CA-2017-151750</t>
  </si>
  <si>
    <t>CA-2017-121790</t>
  </si>
  <si>
    <t>US-2017-105935</t>
  </si>
  <si>
    <t>CA-2017-147207</t>
  </si>
  <si>
    <t>CA-2017-157273</t>
  </si>
  <si>
    <t>CA-2017-145338</t>
  </si>
  <si>
    <t>US-2017-148551</t>
  </si>
  <si>
    <t>CA-2017-153045</t>
  </si>
  <si>
    <t>US-2017-127292</t>
  </si>
  <si>
    <t>CA-2017-111738</t>
  </si>
  <si>
    <t>CA-2017-104619</t>
  </si>
  <si>
    <t>CA-2017-161893</t>
  </si>
  <si>
    <t>CA-2017-118668</t>
  </si>
  <si>
    <t>CA-2017-141782</t>
  </si>
  <si>
    <t>CA-2017-113278</t>
  </si>
  <si>
    <t>CA-2017-160927</t>
  </si>
  <si>
    <t>Customer   Name</t>
  </si>
  <si>
    <t>Guy   Armstrong</t>
  </si>
  <si>
    <t>Steven   Cartwright</t>
  </si>
  <si>
    <t>Dennis   Pardue</t>
  </si>
  <si>
    <t>Janet   Martin</t>
  </si>
  <si>
    <t>Aaron   Smayling</t>
  </si>
  <si>
    <t>Trudy   Schmidt</t>
  </si>
  <si>
    <t>Fred   Wasserman</t>
  </si>
  <si>
    <t>Delfina   Latchford</t>
  </si>
  <si>
    <t>Christopher   Martinez</t>
  </si>
  <si>
    <t>Bart   Watters</t>
  </si>
  <si>
    <t>Thais   Sissman</t>
  </si>
  <si>
    <t>Jamie   Frazer</t>
  </si>
  <si>
    <t>Ricardo   Sperren</t>
  </si>
  <si>
    <t>Beth   Paige</t>
  </si>
  <si>
    <t>Dianna   Arnett</t>
  </si>
  <si>
    <t>Linda   Southworth</t>
  </si>
  <si>
    <t>David   Bremer</t>
  </si>
  <si>
    <t>Cathy   Prescott</t>
  </si>
  <si>
    <t>Rob   Beeghly</t>
  </si>
  <si>
    <t>Tracy   Poddar</t>
  </si>
  <si>
    <t>Brosina   Hoffman</t>
  </si>
  <si>
    <t>Sean   O'Donnell</t>
  </si>
  <si>
    <t>Hallie   Redmond</t>
  </si>
  <si>
    <t>Robert   Waldorf</t>
  </si>
  <si>
    <t>Sanjit   Chand</t>
  </si>
  <si>
    <t>Tonja   Turnell</t>
  </si>
  <si>
    <t>Tim   Brockman</t>
  </si>
  <si>
    <t>Jack   O'Briant</t>
  </si>
  <si>
    <t>Andy   Reiter</t>
  </si>
  <si>
    <t>Dan   Lawera</t>
  </si>
  <si>
    <t>Neola   Schneider</t>
  </si>
  <si>
    <t>Raymond   Messe</t>
  </si>
  <si>
    <t>Cynthia   Voltz</t>
  </si>
  <si>
    <t>Thea   Hendricks</t>
  </si>
  <si>
    <t>Tamara   Manning</t>
  </si>
  <si>
    <t>Jeremy   Farry</t>
  </si>
  <si>
    <t>Maris   LaWare</t>
  </si>
  <si>
    <t>Darrin   Sayre</t>
  </si>
  <si>
    <t>Penelope   Sewall</t>
  </si>
  <si>
    <t>Mick   Hernandez</t>
  </si>
  <si>
    <t>Bobby   Elias</t>
  </si>
  <si>
    <t>Alan   Dominguez</t>
  </si>
  <si>
    <t>Edward   Hooks</t>
  </si>
  <si>
    <t>Matt   Connell</t>
  </si>
  <si>
    <t>Chris   Selesnick</t>
  </si>
  <si>
    <t>Harold   Pawlan</t>
  </si>
  <si>
    <t>Theone   Pippenger</t>
  </si>
  <si>
    <t>Keith   Dawkins</t>
  </si>
  <si>
    <t>Carol   Adams</t>
  </si>
  <si>
    <t>Claire   Gute</t>
  </si>
  <si>
    <t>Caroline   Jumper</t>
  </si>
  <si>
    <t>Bradley   Drucker</t>
  </si>
  <si>
    <t>John   Huston</t>
  </si>
  <si>
    <t>Toby   Gnade</t>
  </si>
  <si>
    <t>Beth   Thompson</t>
  </si>
  <si>
    <t>Giulietta   Baptist</t>
  </si>
  <si>
    <t>Craig   Leslie</t>
  </si>
  <si>
    <t>Clytie   Kelty</t>
  </si>
  <si>
    <t>Vivek   Gonzalez</t>
  </si>
  <si>
    <t>Rob   Dowd</t>
  </si>
  <si>
    <t>Bryan   Davis</t>
  </si>
  <si>
    <t>Benjamin   Venier</t>
  </si>
  <si>
    <t>Michael   Moore</t>
  </si>
  <si>
    <t>Eugene   Hildebrand</t>
  </si>
  <si>
    <t>Emily   Burns</t>
  </si>
  <si>
    <t>Liz   Preis</t>
  </si>
  <si>
    <t>Sam   Zeldin</t>
  </si>
  <si>
    <t>Office   Supplies</t>
  </si>
  <si>
    <t>Prod. ID</t>
  </si>
  <si>
    <t>Prod. Name</t>
  </si>
  <si>
    <t>Consumar</t>
  </si>
  <si>
    <t>Texes</t>
  </si>
  <si>
    <t>Sales dataset of a leading superstrore in the USA for January 2017</t>
  </si>
  <si>
    <t>Customer Name</t>
  </si>
  <si>
    <t>Guy Armstrong</t>
  </si>
  <si>
    <t>Steven Cartwright</t>
  </si>
  <si>
    <t>Dennis Pardue</t>
  </si>
  <si>
    <t>Janet Martin</t>
  </si>
  <si>
    <t>Aaron Smayling</t>
  </si>
  <si>
    <t>Trudy Schmidt</t>
  </si>
  <si>
    <t>Fred Wasserman</t>
  </si>
  <si>
    <t>Delfina Latchford</t>
  </si>
  <si>
    <t>Christopher Martinez</t>
  </si>
  <si>
    <t>Bart Watters</t>
  </si>
  <si>
    <t>Thais Sissman</t>
  </si>
  <si>
    <t>Jamie Frazer</t>
  </si>
  <si>
    <t>Ricardo Sperren</t>
  </si>
  <si>
    <t>Beth Paige</t>
  </si>
  <si>
    <t>Dianna Arnett</t>
  </si>
  <si>
    <t>Linda Southworth</t>
  </si>
  <si>
    <t>David Bremer</t>
  </si>
  <si>
    <t>Cathy Prescott</t>
  </si>
  <si>
    <t>Rob Beeghly</t>
  </si>
  <si>
    <t>Tracy Poddar</t>
  </si>
  <si>
    <t>Brosina Hoffman</t>
  </si>
  <si>
    <t>Sean O'Donnell</t>
  </si>
  <si>
    <t>Hallie Redmond</t>
  </si>
  <si>
    <t>Robert Waldorf</t>
  </si>
  <si>
    <t>Sanjit Chand</t>
  </si>
  <si>
    <t>Tonja Turnell</t>
  </si>
  <si>
    <t>Tim Brockman</t>
  </si>
  <si>
    <t>Jack O'Briant</t>
  </si>
  <si>
    <t>Andy Reiter</t>
  </si>
  <si>
    <t>Dan Lawera</t>
  </si>
  <si>
    <t>Neola Schneider</t>
  </si>
  <si>
    <t>Raymond Messe</t>
  </si>
  <si>
    <t>Cynthia Voltz</t>
  </si>
  <si>
    <t>Thea Hendricks</t>
  </si>
  <si>
    <t>Tamara Manning</t>
  </si>
  <si>
    <t>Jeremy Farry</t>
  </si>
  <si>
    <t>Maris LaWare</t>
  </si>
  <si>
    <t>Darrin Sayre</t>
  </si>
  <si>
    <t>Penelope Sewall</t>
  </si>
  <si>
    <t>Mick Hernandez</t>
  </si>
  <si>
    <t>Bobby Elias</t>
  </si>
  <si>
    <t>Alan Dominguez</t>
  </si>
  <si>
    <t>Edward Hooks</t>
  </si>
  <si>
    <t>Matt Connell</t>
  </si>
  <si>
    <t>Chris Selesnick</t>
  </si>
  <si>
    <t>Harold Pawlan</t>
  </si>
  <si>
    <t>Theone Pippenger</t>
  </si>
  <si>
    <t>Keith Dawkins</t>
  </si>
  <si>
    <t>Carol Adams</t>
  </si>
  <si>
    <t>Claire Gute</t>
  </si>
  <si>
    <t>Caroline Jumper</t>
  </si>
  <si>
    <t>Bradley Drucker</t>
  </si>
  <si>
    <t>John Huston</t>
  </si>
  <si>
    <t>Toby Gnade</t>
  </si>
  <si>
    <t>Beth Thompson</t>
  </si>
  <si>
    <t>Giulietta Baptist</t>
  </si>
  <si>
    <t>Craig Leslie</t>
  </si>
  <si>
    <t>Clytie Kelty</t>
  </si>
  <si>
    <t>Vivek Gonzalez</t>
  </si>
  <si>
    <t>Rob Dowd</t>
  </si>
  <si>
    <t>Bryan Davis</t>
  </si>
  <si>
    <t>Benjamin Venier</t>
  </si>
  <si>
    <t>Michael Moore</t>
  </si>
  <si>
    <t>Eugene Hildebrand</t>
  </si>
  <si>
    <t>Emily Burns</t>
  </si>
  <si>
    <t>Liz Preis</t>
  </si>
  <si>
    <t>Sam Zeldin</t>
  </si>
  <si>
    <t>Office Supplies</t>
  </si>
  <si>
    <t>Product ID</t>
  </si>
  <si>
    <t>Product Name</t>
  </si>
  <si>
    <t>Consumer</t>
  </si>
  <si>
    <t>Texas</t>
  </si>
  <si>
    <t>01/01/2017</t>
  </si>
  <si>
    <t>02/01/2017</t>
  </si>
  <si>
    <t>03/01/2017</t>
  </si>
  <si>
    <t>06/01/2017</t>
  </si>
  <si>
    <t>07/01/2017</t>
  </si>
  <si>
    <t>08/01/2017</t>
  </si>
  <si>
    <t>09/01/2017</t>
  </si>
  <si>
    <t>12/01/2017</t>
  </si>
  <si>
    <t>13/01/2017</t>
  </si>
  <si>
    <t>14/01/2017</t>
  </si>
  <si>
    <t>15/01/2017</t>
  </si>
  <si>
    <t>16/01/2017</t>
  </si>
  <si>
    <t>19/01/2017</t>
  </si>
  <si>
    <t>20/01/2017</t>
  </si>
  <si>
    <t>21/01/2017</t>
  </si>
  <si>
    <t>22/01/2017</t>
  </si>
  <si>
    <t>23/01/2017</t>
  </si>
  <si>
    <t>24/01/2017</t>
  </si>
  <si>
    <t>26/01/2017</t>
  </si>
  <si>
    <t>27/01/2017</t>
  </si>
  <si>
    <t>28/01/2017</t>
  </si>
  <si>
    <t>29/01/2017</t>
  </si>
  <si>
    <t>30/01/2017</t>
  </si>
  <si>
    <t>Customers Reference Table</t>
  </si>
  <si>
    <t>Products Reference Table</t>
  </si>
  <si>
    <t>Orders Reference Table</t>
  </si>
  <si>
    <t>Order Details Reference Table</t>
  </si>
  <si>
    <t>Total</t>
  </si>
  <si>
    <t>Discounts</t>
  </si>
  <si>
    <t>Number of Orders</t>
  </si>
  <si>
    <t>Products Sold</t>
  </si>
  <si>
    <t>Number of Customers</t>
  </si>
  <si>
    <t>Calculations by Region</t>
  </si>
  <si>
    <t>Calculations by Customer Segment</t>
  </si>
  <si>
    <t>Calculations by Product Category</t>
  </si>
  <si>
    <t>Conditional Formatting of Order Details Table</t>
  </si>
  <si>
    <t>Average Profit</t>
  </si>
  <si>
    <t>Grand Total</t>
  </si>
  <si>
    <t>Sum of Sales</t>
  </si>
  <si>
    <t>Region and Categories</t>
  </si>
  <si>
    <t>Avg Sale per Order</t>
  </si>
  <si>
    <t>Total Sales</t>
  </si>
  <si>
    <t>Order Count</t>
  </si>
  <si>
    <t>Total Total Sales</t>
  </si>
  <si>
    <t>Total Avg Sale per Order</t>
  </si>
  <si>
    <t>Total Order Count</t>
  </si>
  <si>
    <t>Regions</t>
  </si>
  <si>
    <t>Customer Segment Performance Analysis</t>
  </si>
  <si>
    <t>Sales by Product Category and Sub-Category</t>
  </si>
  <si>
    <t xml:space="preserve">Total Profit      </t>
  </si>
  <si>
    <t xml:space="preserve">Total Sales          </t>
  </si>
  <si>
    <t>Category and Sub-Category</t>
  </si>
  <si>
    <t>Sales by Region</t>
  </si>
  <si>
    <t>Profit Margin</t>
  </si>
  <si>
    <t>Average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</si>
</sst>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6">
    <xf numFmtId="0" fontId="0" fillId="0" borderId="0" xfId="0"/>
    <xf numFmtId="14" fontId="0" fillId="0" borderId="0" xfId="0" applyNumberFormat="1"/>
    <xf numFmtId="44" fontId="0" fillId="0" borderId="0" xfId="42" applyFont="1"/>
    <xf numFmtId="10" fontId="0" fillId="0" borderId="0" xfId="0" applyNumberFormat="1"/>
    <xf numFmtId="44" fontId="0" fillId="0" borderId="0" xfId="0" applyNumberFormat="1"/>
    <xf numFmtId="0" fontId="0" fillId="33" borderId="0" xfId="0" applyFill="1"/>
    <xf numFmtId="0" fontId="13" fillId="33" borderId="0" xfId="0" applyFont="1" applyFill="1"/>
    <xf numFmtId="44" fontId="13" fillId="33" borderId="0" xfId="42" applyFont="1" applyFill="1"/>
    <xf numFmtId="10" fontId="13" fillId="33" borderId="0" xfId="0" applyNumberFormat="1" applyFont="1" applyFill="1"/>
    <xf numFmtId="44" fontId="13" fillId="33" borderId="0" xfId="0" applyNumberFormat="1" applyFont="1" applyFill="1"/>
    <xf numFmtId="9" fontId="0" fillId="0" borderId="0" xfId="43" applyFont="1"/>
    <xf numFmtId="0" fontId="0" fillId="0" borderId="0" xfId="0" pivotButton="1"/>
    <xf numFmtId="0" fontId="0" fillId="0" borderId="0" xfId="0" applyAlignment="1">
      <alignment horizontal="left"/>
    </xf>
    <xf numFmtId="0" fontId="18" fillId="0" borderId="0" xfId="0" applyFont="1" applyAlignment="1">
      <alignment horizontal="center"/>
    </xf>
    <xf numFmtId="0" fontId="0" fillId="0" borderId="0" xfId="0" applyAlignment="1">
      <alignment horizontal="center"/>
    </xf>
    <xf numFmtId="0" fontId="16" fillId="0" borderId="0" xfId="0" applyFont="1" applyAlignment="1">
      <alignment horizont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8">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D6BCBC"/>
      <color rgb="FFCEA8A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5" Type="http://schemas.openxmlformats.org/officeDocument/2006/relationships/customXml" Target="../customXml/item2.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[Assignment.xlsx]Pivot Table 1!PivotTable1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Sales</a:t>
            </a:r>
            <a:r>
              <a:rPr lang="en-US" sz="1400" b="1" baseline="0"/>
              <a:t> by Region</a:t>
            </a:r>
            <a:endParaRPr lang="en-US" sz="1400" b="1"/>
          </a:p>
        </c:rich>
      </c:tx>
      <c:layout>
        <c:manualLayout>
          <c:xMode val="edge"/>
          <c:yMode val="edge"/>
          <c:x val="0.34273768945251815"/>
          <c:y val="4.73330145529139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20971652994566475"/>
          <c:y val="0.15668408892276267"/>
          <c:w val="0.56477588775050447"/>
          <c:h val="0.74743809727476995"/>
        </c:manualLayout>
      </c:layout>
      <c:doughnutChart>
        <c:varyColors val="1"/>
        <c:ser>
          <c:idx val="0"/>
          <c:order val="0"/>
          <c:tx>
            <c:strRef>
              <c:f>'Pivot Table 1'!$B$2</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4-5FE9-49B8-A338-45B33CE044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909-4EA6-9706-34C86A6C569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909-4EA6-9706-34C86A6C569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5FE9-49B8-A338-45B33CE044F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 1'!$A$3:$A$7</c:f>
              <c:strCache>
                <c:ptCount val="4"/>
                <c:pt idx="0">
                  <c:v>Central</c:v>
                </c:pt>
                <c:pt idx="1">
                  <c:v>East</c:v>
                </c:pt>
                <c:pt idx="2">
                  <c:v>South</c:v>
                </c:pt>
                <c:pt idx="3">
                  <c:v>West</c:v>
                </c:pt>
              </c:strCache>
            </c:strRef>
          </c:cat>
          <c:val>
            <c:numRef>
              <c:f>'Pivot Table 1'!$B$3:$B$7</c:f>
              <c:numCache>
                <c:formatCode>_("$"* #,##0.00_);_("$"* \(#,##0.00\);_("$"* "-"??_);_(@_)</c:formatCode>
                <c:ptCount val="4"/>
                <c:pt idx="0">
                  <c:v>21690.656000000003</c:v>
                </c:pt>
                <c:pt idx="1">
                  <c:v>5383.2839999999987</c:v>
                </c:pt>
                <c:pt idx="2">
                  <c:v>4815.5900000000011</c:v>
                </c:pt>
                <c:pt idx="3">
                  <c:v>12081.843999999997</c:v>
                </c:pt>
              </c:numCache>
            </c:numRef>
          </c:val>
          <c:extLst>
            <c:ext xmlns:c16="http://schemas.microsoft.com/office/drawing/2014/chart" uri="{C3380CC4-5D6E-409C-BE32-E72D297353CC}">
              <c16:uniqueId val="{00000000-5FE9-49B8-A338-45B33CE044F9}"/>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[Assignment.xlsx]Pivot Table 2!PivotTable3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2'!$B$2</c:f>
              <c:strCache>
                <c:ptCount val="1"/>
                <c:pt idx="0">
                  <c:v>Total Sales          </c:v>
                </c:pt>
              </c:strCache>
            </c:strRef>
          </c:tx>
          <c:spPr>
            <a:solidFill>
              <a:schemeClr val="accent1"/>
            </a:solidFill>
            <a:ln>
              <a:noFill/>
            </a:ln>
            <a:effectLst/>
          </c:spPr>
          <c:invertIfNegative val="0"/>
          <c:cat>
            <c:strRef>
              <c:f>'Pivot Table 2'!$A$3:$A$6</c:f>
              <c:strCache>
                <c:ptCount val="3"/>
                <c:pt idx="0">
                  <c:v>Office Supplies</c:v>
                </c:pt>
                <c:pt idx="1">
                  <c:v>Technology</c:v>
                </c:pt>
                <c:pt idx="2">
                  <c:v>Furniture</c:v>
                </c:pt>
              </c:strCache>
            </c:strRef>
          </c:cat>
          <c:val>
            <c:numRef>
              <c:f>'Pivot Table 2'!$B$3:$B$6</c:f>
              <c:numCache>
                <c:formatCode>_("$"* #,##0.00_);_("$"* \(#,##0.00\);_("$"* "-"??_);_(@_)</c:formatCode>
                <c:ptCount val="3"/>
                <c:pt idx="0">
                  <c:v>21274.288999999993</c:v>
                </c:pt>
                <c:pt idx="1">
                  <c:v>16733.053</c:v>
                </c:pt>
                <c:pt idx="2">
                  <c:v>5964.0319999999983</c:v>
                </c:pt>
              </c:numCache>
            </c:numRef>
          </c:val>
          <c:extLst>
            <c:ext xmlns:c16="http://schemas.microsoft.com/office/drawing/2014/chart" uri="{C3380CC4-5D6E-409C-BE32-E72D297353CC}">
              <c16:uniqueId val="{00000000-6EC2-46DA-881D-D2A53254001B}"/>
            </c:ext>
          </c:extLst>
        </c:ser>
        <c:ser>
          <c:idx val="1"/>
          <c:order val="1"/>
          <c:tx>
            <c:strRef>
              <c:f>'Pivot Table 2'!$C$2</c:f>
              <c:strCache>
                <c:ptCount val="1"/>
                <c:pt idx="0">
                  <c:v>Total Profit      </c:v>
                </c:pt>
              </c:strCache>
            </c:strRef>
          </c:tx>
          <c:spPr>
            <a:solidFill>
              <a:schemeClr val="accent2"/>
            </a:solidFill>
            <a:ln>
              <a:noFill/>
            </a:ln>
            <a:effectLst/>
          </c:spPr>
          <c:invertIfNegative val="0"/>
          <c:cat>
            <c:strRef>
              <c:f>'Pivot Table 2'!$A$3:$A$6</c:f>
              <c:strCache>
                <c:ptCount val="3"/>
                <c:pt idx="0">
                  <c:v>Office Supplies</c:v>
                </c:pt>
                <c:pt idx="1">
                  <c:v>Technology</c:v>
                </c:pt>
                <c:pt idx="2">
                  <c:v>Furniture</c:v>
                </c:pt>
              </c:strCache>
            </c:strRef>
          </c:cat>
          <c:val>
            <c:numRef>
              <c:f>'Pivot Table 2'!$C$3:$C$6</c:f>
              <c:numCache>
                <c:formatCode>_("$"* #,##0.00_);_("$"* \(#,##0.00\);_("$"* "-"??_);_(@_)</c:formatCode>
                <c:ptCount val="3"/>
                <c:pt idx="0">
                  <c:v>3260.4466999999986</c:v>
                </c:pt>
                <c:pt idx="1">
                  <c:v>3919.4326000000005</c:v>
                </c:pt>
                <c:pt idx="2">
                  <c:v>-39.440199999999962</c:v>
                </c:pt>
              </c:numCache>
            </c:numRef>
          </c:val>
          <c:extLst>
            <c:ext xmlns:c16="http://schemas.microsoft.com/office/drawing/2014/chart" uri="{C3380CC4-5D6E-409C-BE32-E72D297353CC}">
              <c16:uniqueId val="{00000001-6EC2-46DA-881D-D2A53254001B}"/>
            </c:ext>
          </c:extLst>
        </c:ser>
        <c:dLbls>
          <c:showLegendKey val="0"/>
          <c:showVal val="0"/>
          <c:showCatName val="0"/>
          <c:showSerName val="0"/>
          <c:showPercent val="0"/>
          <c:showBubbleSize val="0"/>
        </c:dLbls>
        <c:gapWidth val="219"/>
        <c:overlap val="-27"/>
        <c:axId val="1691412080"/>
        <c:axId val="1691419280"/>
      </c:barChart>
      <c:catAx>
        <c:axId val="169141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419280"/>
        <c:crosses val="autoZero"/>
        <c:auto val="1"/>
        <c:lblAlgn val="ctr"/>
        <c:lblOffset val="100"/>
        <c:noMultiLvlLbl val="0"/>
      </c:catAx>
      <c:valAx>
        <c:axId val="169141928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412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[Assignment.xlsx]Pivot Table 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s>
    <c:plotArea>
      <c:layout/>
      <c:pieChart>
        <c:varyColors val="1"/>
        <c:ser>
          <c:idx val="0"/>
          <c:order val="0"/>
          <c:tx>
            <c:strRef>
              <c:f>'Pivot Table 3'!$B$2:$B$4</c:f>
              <c:strCache>
                <c:ptCount val="1"/>
                <c:pt idx="0">
                  <c:v>Central - Total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F4-4D90-87AC-E6F97DB51C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F4-4D90-87AC-E6F97DB51C0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6F4-4D90-87AC-E6F97DB51C0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3'!$A$5:$A$8</c:f>
              <c:strCache>
                <c:ptCount val="3"/>
                <c:pt idx="0">
                  <c:v>Consumer</c:v>
                </c:pt>
                <c:pt idx="1">
                  <c:v>Corporate</c:v>
                </c:pt>
                <c:pt idx="2">
                  <c:v>Home Office</c:v>
                </c:pt>
              </c:strCache>
            </c:strRef>
          </c:cat>
          <c:val>
            <c:numRef>
              <c:f>'Pivot Table 3'!$B$5:$B$8</c:f>
              <c:numCache>
                <c:formatCode>_("$"* #,##0.00_);_("$"* \(#,##0.00\);_("$"* "-"??_);_(@_)</c:formatCode>
                <c:ptCount val="3"/>
                <c:pt idx="0">
                  <c:v>11074.038999999997</c:v>
                </c:pt>
                <c:pt idx="1">
                  <c:v>9014.4840000000004</c:v>
                </c:pt>
                <c:pt idx="2">
                  <c:v>1602.133</c:v>
                </c:pt>
              </c:numCache>
            </c:numRef>
          </c:val>
          <c:extLst>
            <c:ext xmlns:c16="http://schemas.microsoft.com/office/drawing/2014/chart" uri="{C3380CC4-5D6E-409C-BE32-E72D297353CC}">
              <c16:uniqueId val="{00000000-2F16-4E78-B526-6B8133C27EAA}"/>
            </c:ext>
          </c:extLst>
        </c:ser>
        <c:ser>
          <c:idx val="1"/>
          <c:order val="1"/>
          <c:tx>
            <c:strRef>
              <c:f>'Pivot Table 3'!$C$2:$C$4</c:f>
              <c:strCache>
                <c:ptCount val="1"/>
                <c:pt idx="0">
                  <c:v>Central - Avg Sale per Order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76F4-4D90-87AC-E6F97DB51C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76F4-4D90-87AC-E6F97DB51C0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76F4-4D90-87AC-E6F97DB51C0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3'!$A$5:$A$8</c:f>
              <c:strCache>
                <c:ptCount val="3"/>
                <c:pt idx="0">
                  <c:v>Consumer</c:v>
                </c:pt>
                <c:pt idx="1">
                  <c:v>Corporate</c:v>
                </c:pt>
                <c:pt idx="2">
                  <c:v>Home Office</c:v>
                </c:pt>
              </c:strCache>
            </c:strRef>
          </c:cat>
          <c:val>
            <c:numRef>
              <c:f>'Pivot Table 3'!$C$5:$C$8</c:f>
              <c:numCache>
                <c:formatCode>_("$"* #,##0.00_);_("$"* \(#,##0.00\);_("$"* "-"??_);_(@_)</c:formatCode>
                <c:ptCount val="3"/>
                <c:pt idx="0">
                  <c:v>346.06371874999991</c:v>
                </c:pt>
                <c:pt idx="1">
                  <c:v>600.96559999999999</c:v>
                </c:pt>
                <c:pt idx="2">
                  <c:v>114.43807142857143</c:v>
                </c:pt>
              </c:numCache>
            </c:numRef>
          </c:val>
          <c:extLst>
            <c:ext xmlns:c16="http://schemas.microsoft.com/office/drawing/2014/chart" uri="{C3380CC4-5D6E-409C-BE32-E72D297353CC}">
              <c16:uniqueId val="{00000001-2F16-4E78-B526-6B8133C27EAA}"/>
            </c:ext>
          </c:extLst>
        </c:ser>
        <c:ser>
          <c:idx val="2"/>
          <c:order val="2"/>
          <c:tx>
            <c:strRef>
              <c:f>'Pivot Table 3'!$D$2:$D$4</c:f>
              <c:strCache>
                <c:ptCount val="1"/>
                <c:pt idx="0">
                  <c:v>Central - Order 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76F4-4D90-87AC-E6F97DB51C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76F4-4D90-87AC-E6F97DB51C0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76F4-4D90-87AC-E6F97DB51C0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3'!$A$5:$A$8</c:f>
              <c:strCache>
                <c:ptCount val="3"/>
                <c:pt idx="0">
                  <c:v>Consumer</c:v>
                </c:pt>
                <c:pt idx="1">
                  <c:v>Corporate</c:v>
                </c:pt>
                <c:pt idx="2">
                  <c:v>Home Office</c:v>
                </c:pt>
              </c:strCache>
            </c:strRef>
          </c:cat>
          <c:val>
            <c:numRef>
              <c:f>'Pivot Table 3'!$D$5:$D$8</c:f>
              <c:numCache>
                <c:formatCode>General</c:formatCode>
                <c:ptCount val="3"/>
                <c:pt idx="0">
                  <c:v>32</c:v>
                </c:pt>
                <c:pt idx="1">
                  <c:v>15</c:v>
                </c:pt>
                <c:pt idx="2">
                  <c:v>14</c:v>
                </c:pt>
              </c:numCache>
            </c:numRef>
          </c:val>
          <c:extLst>
            <c:ext xmlns:c16="http://schemas.microsoft.com/office/drawing/2014/chart" uri="{C3380CC4-5D6E-409C-BE32-E72D297353CC}">
              <c16:uniqueId val="{00000002-2F16-4E78-B526-6B8133C27EAA}"/>
            </c:ext>
          </c:extLst>
        </c:ser>
        <c:ser>
          <c:idx val="3"/>
          <c:order val="3"/>
          <c:tx>
            <c:strRef>
              <c:f>'Pivot Table 3'!$E$2:$E$4</c:f>
              <c:strCache>
                <c:ptCount val="1"/>
                <c:pt idx="0">
                  <c:v>East - Total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3-76F4-4D90-87AC-E6F97DB51C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5-76F4-4D90-87AC-E6F97DB51C0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7-76F4-4D90-87AC-E6F97DB51C0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3'!$A$5:$A$8</c:f>
              <c:strCache>
                <c:ptCount val="3"/>
                <c:pt idx="0">
                  <c:v>Consumer</c:v>
                </c:pt>
                <c:pt idx="1">
                  <c:v>Corporate</c:v>
                </c:pt>
                <c:pt idx="2">
                  <c:v>Home Office</c:v>
                </c:pt>
              </c:strCache>
            </c:strRef>
          </c:cat>
          <c:val>
            <c:numRef>
              <c:f>'Pivot Table 3'!$E$5:$E$8</c:f>
              <c:numCache>
                <c:formatCode>_("$"* #,##0.00_);_("$"* \(#,##0.00\);_("$"* "-"??_);_(@_)</c:formatCode>
                <c:ptCount val="3"/>
                <c:pt idx="0">
                  <c:v>4647.7679999999991</c:v>
                </c:pt>
                <c:pt idx="1">
                  <c:v>207.846</c:v>
                </c:pt>
                <c:pt idx="2">
                  <c:v>527.67000000000007</c:v>
                </c:pt>
              </c:numCache>
            </c:numRef>
          </c:val>
          <c:extLst>
            <c:ext xmlns:c16="http://schemas.microsoft.com/office/drawing/2014/chart" uri="{C3380CC4-5D6E-409C-BE32-E72D297353CC}">
              <c16:uniqueId val="{00000003-2F16-4E78-B526-6B8133C27EAA}"/>
            </c:ext>
          </c:extLst>
        </c:ser>
        <c:ser>
          <c:idx val="4"/>
          <c:order val="4"/>
          <c:tx>
            <c:strRef>
              <c:f>'Pivot Table 3'!$F$2:$F$4</c:f>
              <c:strCache>
                <c:ptCount val="1"/>
                <c:pt idx="0">
                  <c:v>East - Avg Sale per Order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9-76F4-4D90-87AC-E6F97DB51C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B-76F4-4D90-87AC-E6F97DB51C0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D-76F4-4D90-87AC-E6F97DB51C0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3'!$A$5:$A$8</c:f>
              <c:strCache>
                <c:ptCount val="3"/>
                <c:pt idx="0">
                  <c:v>Consumer</c:v>
                </c:pt>
                <c:pt idx="1">
                  <c:v>Corporate</c:v>
                </c:pt>
                <c:pt idx="2">
                  <c:v>Home Office</c:v>
                </c:pt>
              </c:strCache>
            </c:strRef>
          </c:cat>
          <c:val>
            <c:numRef>
              <c:f>'Pivot Table 3'!$F$5:$F$8</c:f>
              <c:numCache>
                <c:formatCode>_("$"* #,##0.00_);_("$"* \(#,##0.00\);_("$"* "-"??_);_(@_)</c:formatCode>
                <c:ptCount val="3"/>
                <c:pt idx="0">
                  <c:v>232.38839999999996</c:v>
                </c:pt>
                <c:pt idx="1">
                  <c:v>207.846</c:v>
                </c:pt>
                <c:pt idx="2">
                  <c:v>175.89000000000001</c:v>
                </c:pt>
              </c:numCache>
            </c:numRef>
          </c:val>
          <c:extLst>
            <c:ext xmlns:c16="http://schemas.microsoft.com/office/drawing/2014/chart" uri="{C3380CC4-5D6E-409C-BE32-E72D297353CC}">
              <c16:uniqueId val="{00000004-2F16-4E78-B526-6B8133C27EAA}"/>
            </c:ext>
          </c:extLst>
        </c:ser>
        <c:ser>
          <c:idx val="5"/>
          <c:order val="5"/>
          <c:tx>
            <c:strRef>
              <c:f>'Pivot Table 3'!$G$2:$G$4</c:f>
              <c:strCache>
                <c:ptCount val="1"/>
                <c:pt idx="0">
                  <c:v>East - Order 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F-76F4-4D90-87AC-E6F97DB51C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1-76F4-4D90-87AC-E6F97DB51C0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3-76F4-4D90-87AC-E6F97DB51C0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3'!$A$5:$A$8</c:f>
              <c:strCache>
                <c:ptCount val="3"/>
                <c:pt idx="0">
                  <c:v>Consumer</c:v>
                </c:pt>
                <c:pt idx="1">
                  <c:v>Corporate</c:v>
                </c:pt>
                <c:pt idx="2">
                  <c:v>Home Office</c:v>
                </c:pt>
              </c:strCache>
            </c:strRef>
          </c:cat>
          <c:val>
            <c:numRef>
              <c:f>'Pivot Table 3'!$G$5:$G$8</c:f>
              <c:numCache>
                <c:formatCode>General</c:formatCode>
                <c:ptCount val="3"/>
                <c:pt idx="0">
                  <c:v>20</c:v>
                </c:pt>
                <c:pt idx="1">
                  <c:v>1</c:v>
                </c:pt>
                <c:pt idx="2">
                  <c:v>3</c:v>
                </c:pt>
              </c:numCache>
            </c:numRef>
          </c:val>
          <c:extLst>
            <c:ext xmlns:c16="http://schemas.microsoft.com/office/drawing/2014/chart" uri="{C3380CC4-5D6E-409C-BE32-E72D297353CC}">
              <c16:uniqueId val="{00000005-2F16-4E78-B526-6B8133C27EAA}"/>
            </c:ext>
          </c:extLst>
        </c:ser>
        <c:ser>
          <c:idx val="6"/>
          <c:order val="6"/>
          <c:tx>
            <c:strRef>
              <c:f>'Pivot Table 3'!$H$2:$H$4</c:f>
              <c:strCache>
                <c:ptCount val="1"/>
                <c:pt idx="0">
                  <c:v>South - Total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5-76F4-4D90-87AC-E6F97DB51C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7-76F4-4D90-87AC-E6F97DB51C0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9-76F4-4D90-87AC-E6F97DB51C0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3'!$A$5:$A$8</c:f>
              <c:strCache>
                <c:ptCount val="3"/>
                <c:pt idx="0">
                  <c:v>Consumer</c:v>
                </c:pt>
                <c:pt idx="1">
                  <c:v>Corporate</c:v>
                </c:pt>
                <c:pt idx="2">
                  <c:v>Home Office</c:v>
                </c:pt>
              </c:strCache>
            </c:strRef>
          </c:cat>
          <c:val>
            <c:numRef>
              <c:f>'Pivot Table 3'!$H$5:$H$8</c:f>
              <c:numCache>
                <c:formatCode>_("$"* #,##0.00_);_("$"* \(#,##0.00\);_("$"* "-"??_);_(@_)</c:formatCode>
                <c:ptCount val="3"/>
                <c:pt idx="0">
                  <c:v>3635.0139999999997</c:v>
                </c:pt>
                <c:pt idx="1">
                  <c:v>762.84400000000005</c:v>
                </c:pt>
                <c:pt idx="2">
                  <c:v>417.73200000000003</c:v>
                </c:pt>
              </c:numCache>
            </c:numRef>
          </c:val>
          <c:extLst>
            <c:ext xmlns:c16="http://schemas.microsoft.com/office/drawing/2014/chart" uri="{C3380CC4-5D6E-409C-BE32-E72D297353CC}">
              <c16:uniqueId val="{00000006-2F16-4E78-B526-6B8133C27EAA}"/>
            </c:ext>
          </c:extLst>
        </c:ser>
        <c:ser>
          <c:idx val="7"/>
          <c:order val="7"/>
          <c:tx>
            <c:strRef>
              <c:f>'Pivot Table 3'!$I$2:$I$4</c:f>
              <c:strCache>
                <c:ptCount val="1"/>
                <c:pt idx="0">
                  <c:v>South - Avg Sale per Order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B-76F4-4D90-87AC-E6F97DB51C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D-76F4-4D90-87AC-E6F97DB51C0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F-76F4-4D90-87AC-E6F97DB51C0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3'!$A$5:$A$8</c:f>
              <c:strCache>
                <c:ptCount val="3"/>
                <c:pt idx="0">
                  <c:v>Consumer</c:v>
                </c:pt>
                <c:pt idx="1">
                  <c:v>Corporate</c:v>
                </c:pt>
                <c:pt idx="2">
                  <c:v>Home Office</c:v>
                </c:pt>
              </c:strCache>
            </c:strRef>
          </c:cat>
          <c:val>
            <c:numRef>
              <c:f>'Pivot Table 3'!$I$5:$I$8</c:f>
              <c:numCache>
                <c:formatCode>_("$"* #,##0.00_);_("$"* \(#,##0.00\);_("$"* "-"??_);_(@_)</c:formatCode>
                <c:ptCount val="3"/>
                <c:pt idx="0">
                  <c:v>302.91783333333331</c:v>
                </c:pt>
                <c:pt idx="1">
                  <c:v>152.56880000000001</c:v>
                </c:pt>
                <c:pt idx="2">
                  <c:v>139.244</c:v>
                </c:pt>
              </c:numCache>
            </c:numRef>
          </c:val>
          <c:extLst>
            <c:ext xmlns:c16="http://schemas.microsoft.com/office/drawing/2014/chart" uri="{C3380CC4-5D6E-409C-BE32-E72D297353CC}">
              <c16:uniqueId val="{00000007-2F16-4E78-B526-6B8133C27EAA}"/>
            </c:ext>
          </c:extLst>
        </c:ser>
        <c:ser>
          <c:idx val="8"/>
          <c:order val="8"/>
          <c:tx>
            <c:strRef>
              <c:f>'Pivot Table 3'!$J$2:$J$4</c:f>
              <c:strCache>
                <c:ptCount val="1"/>
                <c:pt idx="0">
                  <c:v>South - Order 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1-76F4-4D90-87AC-E6F97DB51C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3-76F4-4D90-87AC-E6F97DB51C0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5-76F4-4D90-87AC-E6F97DB51C0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3'!$A$5:$A$8</c:f>
              <c:strCache>
                <c:ptCount val="3"/>
                <c:pt idx="0">
                  <c:v>Consumer</c:v>
                </c:pt>
                <c:pt idx="1">
                  <c:v>Corporate</c:v>
                </c:pt>
                <c:pt idx="2">
                  <c:v>Home Office</c:v>
                </c:pt>
              </c:strCache>
            </c:strRef>
          </c:cat>
          <c:val>
            <c:numRef>
              <c:f>'Pivot Table 3'!$J$5:$J$8</c:f>
              <c:numCache>
                <c:formatCode>General</c:formatCode>
                <c:ptCount val="3"/>
                <c:pt idx="0">
                  <c:v>12</c:v>
                </c:pt>
                <c:pt idx="1">
                  <c:v>5</c:v>
                </c:pt>
                <c:pt idx="2">
                  <c:v>3</c:v>
                </c:pt>
              </c:numCache>
            </c:numRef>
          </c:val>
          <c:extLst>
            <c:ext xmlns:c16="http://schemas.microsoft.com/office/drawing/2014/chart" uri="{C3380CC4-5D6E-409C-BE32-E72D297353CC}">
              <c16:uniqueId val="{00000008-2F16-4E78-B526-6B8133C27EAA}"/>
            </c:ext>
          </c:extLst>
        </c:ser>
        <c:ser>
          <c:idx val="9"/>
          <c:order val="9"/>
          <c:tx>
            <c:strRef>
              <c:f>'Pivot Table 3'!$K$2:$K$4</c:f>
              <c:strCache>
                <c:ptCount val="1"/>
                <c:pt idx="0">
                  <c:v>West - Total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7-76F4-4D90-87AC-E6F97DB51C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9-76F4-4D90-87AC-E6F97DB51C0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B-76F4-4D90-87AC-E6F97DB51C0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3'!$A$5:$A$8</c:f>
              <c:strCache>
                <c:ptCount val="3"/>
                <c:pt idx="0">
                  <c:v>Consumer</c:v>
                </c:pt>
                <c:pt idx="1">
                  <c:v>Corporate</c:v>
                </c:pt>
                <c:pt idx="2">
                  <c:v>Home Office</c:v>
                </c:pt>
              </c:strCache>
            </c:strRef>
          </c:cat>
          <c:val>
            <c:numRef>
              <c:f>'Pivot Table 3'!$K$5:$K$8</c:f>
              <c:numCache>
                <c:formatCode>_("$"* #,##0.00_);_("$"* \(#,##0.00\);_("$"* "-"??_);_(@_)</c:formatCode>
                <c:ptCount val="3"/>
                <c:pt idx="0">
                  <c:v>3855.0200000000004</c:v>
                </c:pt>
                <c:pt idx="1">
                  <c:v>2236.058</c:v>
                </c:pt>
                <c:pt idx="2">
                  <c:v>5990.7659999999987</c:v>
                </c:pt>
              </c:numCache>
            </c:numRef>
          </c:val>
          <c:extLst>
            <c:ext xmlns:c16="http://schemas.microsoft.com/office/drawing/2014/chart" uri="{C3380CC4-5D6E-409C-BE32-E72D297353CC}">
              <c16:uniqueId val="{00000009-2F16-4E78-B526-6B8133C27EAA}"/>
            </c:ext>
          </c:extLst>
        </c:ser>
        <c:ser>
          <c:idx val="10"/>
          <c:order val="10"/>
          <c:tx>
            <c:strRef>
              <c:f>'Pivot Table 3'!$L$2:$L$4</c:f>
              <c:strCache>
                <c:ptCount val="1"/>
                <c:pt idx="0">
                  <c:v>West - Avg Sale per Order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D-76F4-4D90-87AC-E6F97DB51C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F-76F4-4D90-87AC-E6F97DB51C0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41-76F4-4D90-87AC-E6F97DB51C0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3'!$A$5:$A$8</c:f>
              <c:strCache>
                <c:ptCount val="3"/>
                <c:pt idx="0">
                  <c:v>Consumer</c:v>
                </c:pt>
                <c:pt idx="1">
                  <c:v>Corporate</c:v>
                </c:pt>
                <c:pt idx="2">
                  <c:v>Home Office</c:v>
                </c:pt>
              </c:strCache>
            </c:strRef>
          </c:cat>
          <c:val>
            <c:numRef>
              <c:f>'Pivot Table 3'!$L$5:$L$8</c:f>
              <c:numCache>
                <c:formatCode>_("$"* #,##0.00_);_("$"* \(#,##0.00\);_("$"* "-"??_);_(@_)</c:formatCode>
                <c:ptCount val="3"/>
                <c:pt idx="0">
                  <c:v>226.76588235294119</c:v>
                </c:pt>
                <c:pt idx="1">
                  <c:v>159.71842857142857</c:v>
                </c:pt>
                <c:pt idx="2">
                  <c:v>315.30347368421047</c:v>
                </c:pt>
              </c:numCache>
            </c:numRef>
          </c:val>
          <c:extLst>
            <c:ext xmlns:c16="http://schemas.microsoft.com/office/drawing/2014/chart" uri="{C3380CC4-5D6E-409C-BE32-E72D297353CC}">
              <c16:uniqueId val="{0000000A-2F16-4E78-B526-6B8133C27EAA}"/>
            </c:ext>
          </c:extLst>
        </c:ser>
        <c:ser>
          <c:idx val="11"/>
          <c:order val="11"/>
          <c:tx>
            <c:strRef>
              <c:f>'Pivot Table 3'!$M$2:$M$4</c:f>
              <c:strCache>
                <c:ptCount val="1"/>
                <c:pt idx="0">
                  <c:v>West - Order 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43-76F4-4D90-87AC-E6F97DB51C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45-76F4-4D90-87AC-E6F97DB51C0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47-76F4-4D90-87AC-E6F97DB51C0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3'!$A$5:$A$8</c:f>
              <c:strCache>
                <c:ptCount val="3"/>
                <c:pt idx="0">
                  <c:v>Consumer</c:v>
                </c:pt>
                <c:pt idx="1">
                  <c:v>Corporate</c:v>
                </c:pt>
                <c:pt idx="2">
                  <c:v>Home Office</c:v>
                </c:pt>
              </c:strCache>
            </c:strRef>
          </c:cat>
          <c:val>
            <c:numRef>
              <c:f>'Pivot Table 3'!$M$5:$M$8</c:f>
              <c:numCache>
                <c:formatCode>General</c:formatCode>
                <c:ptCount val="3"/>
                <c:pt idx="0">
                  <c:v>17</c:v>
                </c:pt>
                <c:pt idx="1">
                  <c:v>14</c:v>
                </c:pt>
                <c:pt idx="2">
                  <c:v>19</c:v>
                </c:pt>
              </c:numCache>
            </c:numRef>
          </c:val>
          <c:extLst>
            <c:ext xmlns:c16="http://schemas.microsoft.com/office/drawing/2014/chart" uri="{C3380CC4-5D6E-409C-BE32-E72D297353CC}">
              <c16:uniqueId val="{0000000B-2F16-4E78-B526-6B8133C27EA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2</xdr:row>
      <xdr:rowOff>6350</xdr:rowOff>
    </xdr:from>
    <xdr:to>
      <xdr:col>12</xdr:col>
      <xdr:colOff>596900</xdr:colOff>
      <xdr:row>17</xdr:row>
      <xdr:rowOff>158750</xdr:rowOff>
    </xdr:to>
    <xdr:sp macro="" textlink="">
      <xdr:nvSpPr>
        <xdr:cNvPr id="2" name="TextBox 1">
          <a:extLst>
            <a:ext uri="{FF2B5EF4-FFF2-40B4-BE49-F238E27FC236}">
              <a16:creationId xmlns:a16="http://schemas.microsoft.com/office/drawing/2014/main" id="{41B42C6C-5E5F-2DDF-EC31-CE84FCA924E3}"/>
            </a:ext>
          </a:extLst>
        </xdr:cNvPr>
        <xdr:cNvSpPr txBox="1"/>
      </xdr:nvSpPr>
      <xdr:spPr>
        <a:xfrm>
          <a:off x="6807200" y="393700"/>
          <a:ext cx="2425700" cy="2914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Key:</a:t>
          </a:r>
        </a:p>
        <a:p>
          <a:r>
            <a:rPr lang="en-US" sz="1100"/>
            <a:t>- Sales</a:t>
          </a:r>
          <a:r>
            <a:rPr lang="en-US" sz="1100" baseline="0"/>
            <a:t> coloumn:</a:t>
          </a:r>
        </a:p>
        <a:p>
          <a:r>
            <a:rPr lang="en-US" sz="1100" baseline="0"/>
            <a:t>Top 10 highest sales (green)</a:t>
          </a:r>
        </a:p>
        <a:p>
          <a:r>
            <a:rPr lang="en-US" sz="1100" baseline="0"/>
            <a:t>Top 10 lowest sales (red)</a:t>
          </a:r>
        </a:p>
        <a:p>
          <a:endParaRPr lang="en-US" sz="1100" baseline="0"/>
        </a:p>
        <a:p>
          <a:r>
            <a:rPr lang="en-US" sz="1100" baseline="0"/>
            <a:t>- Quantity coloumn:</a:t>
          </a:r>
        </a:p>
        <a:p>
          <a:r>
            <a:rPr lang="en-US" sz="1100" baseline="0">
              <a:solidFill>
                <a:schemeClr val="dk1"/>
              </a:solidFill>
              <a:effectLst/>
              <a:latin typeface="+mn-lt"/>
              <a:ea typeface="+mn-ea"/>
              <a:cs typeface="+mn-cs"/>
            </a:rPr>
            <a:t>Top 10 highest quantitites(green)</a:t>
          </a:r>
          <a:endParaRPr lang="en-US">
            <a:effectLst/>
          </a:endParaRPr>
        </a:p>
        <a:p>
          <a:r>
            <a:rPr lang="en-US" sz="1100" baseline="0">
              <a:solidFill>
                <a:schemeClr val="dk1"/>
              </a:solidFill>
              <a:effectLst/>
              <a:latin typeface="+mn-lt"/>
              <a:ea typeface="+mn-ea"/>
              <a:cs typeface="+mn-cs"/>
            </a:rPr>
            <a:t>Top 10 lowest quantities (red)</a:t>
          </a:r>
        </a:p>
        <a:p>
          <a:endParaRPr lang="en-US" sz="1100" baseline="0">
            <a:solidFill>
              <a:schemeClr val="dk1"/>
            </a:solidFill>
            <a:effectLst/>
            <a:latin typeface="+mn-lt"/>
            <a:ea typeface="+mn-ea"/>
            <a:cs typeface="+mn-cs"/>
          </a:endParaRPr>
        </a:p>
        <a:p>
          <a:r>
            <a:rPr lang="en-US" sz="1100" baseline="0">
              <a:solidFill>
                <a:schemeClr val="dk1"/>
              </a:solidFill>
              <a:effectLst/>
              <a:latin typeface="+mn-lt"/>
              <a:ea typeface="+mn-ea"/>
              <a:cs typeface="+mn-cs"/>
            </a:rPr>
            <a:t>- Discounts coloumn:</a:t>
          </a:r>
        </a:p>
        <a:p>
          <a:r>
            <a:rPr lang="en-US" sz="1100" baseline="0">
              <a:solidFill>
                <a:schemeClr val="dk1"/>
              </a:solidFill>
              <a:effectLst/>
              <a:latin typeface="+mn-lt"/>
              <a:ea typeface="+mn-ea"/>
              <a:cs typeface="+mn-cs"/>
            </a:rPr>
            <a:t>Top 20 highest discounts (red)</a:t>
          </a:r>
        </a:p>
        <a:p>
          <a:endParaRPr lang="en-US" sz="1100" baseline="0">
            <a:solidFill>
              <a:schemeClr val="dk1"/>
            </a:solidFill>
            <a:effectLst/>
            <a:latin typeface="+mn-lt"/>
            <a:ea typeface="+mn-ea"/>
            <a:cs typeface="+mn-cs"/>
          </a:endParaRPr>
        </a:p>
        <a:p>
          <a:r>
            <a:rPr lang="en-US" sz="1100" baseline="0">
              <a:solidFill>
                <a:schemeClr val="dk1"/>
              </a:solidFill>
              <a:effectLst/>
              <a:latin typeface="+mn-lt"/>
              <a:ea typeface="+mn-ea"/>
              <a:cs typeface="+mn-cs"/>
            </a:rPr>
            <a:t>- Profit Coloumn:</a:t>
          </a:r>
        </a:p>
        <a:p>
          <a:r>
            <a:rPr lang="en-US">
              <a:effectLst/>
            </a:rPr>
            <a:t>Profit</a:t>
          </a:r>
          <a:r>
            <a:rPr lang="en-US" baseline="0">
              <a:effectLst/>
            </a:rPr>
            <a:t> above average (green)</a:t>
          </a:r>
        </a:p>
        <a:p>
          <a:r>
            <a:rPr lang="en-US" baseline="0">
              <a:effectLst/>
            </a:rPr>
            <a:t>Profit between $0 and average (yellow)</a:t>
          </a:r>
        </a:p>
        <a:p>
          <a:r>
            <a:rPr lang="en-US" baseline="0">
              <a:effectLst/>
            </a:rPr>
            <a:t>Profit below $0 or loss (red)</a:t>
          </a:r>
          <a:endParaRPr lang="en-US">
            <a:effectLst/>
          </a:endParaRPr>
        </a:p>
        <a:p>
          <a:endParaRPr lang="en-US">
            <a:effectLst/>
          </a:endParaRP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800100</xdr:colOff>
      <xdr:row>1</xdr:row>
      <xdr:rowOff>0</xdr:rowOff>
    </xdr:from>
    <xdr:to>
      <xdr:col>5</xdr:col>
      <xdr:colOff>603250</xdr:colOff>
      <xdr:row>10</xdr:row>
      <xdr:rowOff>6350</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4D678513-6F2A-494A-1A70-6CA765AF2E0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130550" y="184150"/>
              <a:ext cx="1828800" cy="1663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6350</xdr:colOff>
      <xdr:row>1</xdr:row>
      <xdr:rowOff>0</xdr:rowOff>
    </xdr:from>
    <xdr:to>
      <xdr:col>7</xdr:col>
      <xdr:colOff>6350</xdr:colOff>
      <xdr:row>11</xdr:row>
      <xdr:rowOff>177800</xdr:rowOff>
    </xdr:to>
    <mc:AlternateContent xmlns:mc="http://schemas.openxmlformats.org/markup-compatibility/2006" xmlns:a14="http://schemas.microsoft.com/office/drawing/2010/main">
      <mc:Choice Requires="a14">
        <xdr:graphicFrame macro="">
          <xdr:nvGraphicFramePr>
            <xdr:cNvPr id="2" name="Category 1">
              <a:extLst>
                <a:ext uri="{FF2B5EF4-FFF2-40B4-BE49-F238E27FC236}">
                  <a16:creationId xmlns:a16="http://schemas.microsoft.com/office/drawing/2014/main" id="{728EE454-7D68-D9A0-091F-D8EAE4496A3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4210050" y="203200"/>
              <a:ext cx="1828800" cy="2019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12700</xdr:colOff>
      <xdr:row>1</xdr:row>
      <xdr:rowOff>0</xdr:rowOff>
    </xdr:from>
    <xdr:to>
      <xdr:col>11</xdr:col>
      <xdr:colOff>12700</xdr:colOff>
      <xdr:row>12</xdr:row>
      <xdr:rowOff>0</xdr:rowOff>
    </xdr:to>
    <mc:AlternateContent xmlns:mc="http://schemas.openxmlformats.org/markup-compatibility/2006" xmlns:a14="http://schemas.microsoft.com/office/drawing/2010/main">
      <mc:Choice Requires="a14">
        <xdr:graphicFrame macro="">
          <xdr:nvGraphicFramePr>
            <xdr:cNvPr id="3" name="Sub-Category">
              <a:extLst>
                <a:ext uri="{FF2B5EF4-FFF2-40B4-BE49-F238E27FC236}">
                  <a16:creationId xmlns:a16="http://schemas.microsoft.com/office/drawing/2014/main" id="{3C8038CF-D4C9-7278-D7D0-99EB6BCAA1B1}"/>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6654800" y="203200"/>
              <a:ext cx="1828800" cy="2025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12700</xdr:colOff>
      <xdr:row>10</xdr:row>
      <xdr:rowOff>6350</xdr:rowOff>
    </xdr:from>
    <xdr:to>
      <xdr:col>3</xdr:col>
      <xdr:colOff>749300</xdr:colOff>
      <xdr:row>19</xdr:row>
      <xdr:rowOff>0</xdr:rowOff>
    </xdr:to>
    <mc:AlternateContent xmlns:mc="http://schemas.openxmlformats.org/markup-compatibility/2006" xmlns:a14="http://schemas.microsoft.com/office/drawing/2010/main">
      <mc:Choice Requires="a14">
        <xdr:graphicFrame macro="">
          <xdr:nvGraphicFramePr>
            <xdr:cNvPr id="2" name="Segment">
              <a:extLst>
                <a:ext uri="{FF2B5EF4-FFF2-40B4-BE49-F238E27FC236}">
                  <a16:creationId xmlns:a16="http://schemas.microsoft.com/office/drawing/2014/main" id="{EF278F43-CD94-4FFC-957E-73EA287C061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555750" y="1847850"/>
              <a:ext cx="1847850" cy="1651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10</xdr:row>
      <xdr:rowOff>12700</xdr:rowOff>
    </xdr:from>
    <xdr:to>
      <xdr:col>6</xdr:col>
      <xdr:colOff>755650</xdr:colOff>
      <xdr:row>19</xdr:row>
      <xdr:rowOff>12700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B3F42D3E-CBC2-DCC9-BD88-C72171BA064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127500" y="1854200"/>
              <a:ext cx="1866900" cy="1657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210457</xdr:colOff>
      <xdr:row>0</xdr:row>
      <xdr:rowOff>73478</xdr:rowOff>
    </xdr:from>
    <xdr:to>
      <xdr:col>25</xdr:col>
      <xdr:colOff>127000</xdr:colOff>
      <xdr:row>30</xdr:row>
      <xdr:rowOff>114300</xdr:rowOff>
    </xdr:to>
    <xdr:sp macro="" textlink="">
      <xdr:nvSpPr>
        <xdr:cNvPr id="3" name="Rectangle 2">
          <a:extLst>
            <a:ext uri="{FF2B5EF4-FFF2-40B4-BE49-F238E27FC236}">
              <a16:creationId xmlns:a16="http://schemas.microsoft.com/office/drawing/2014/main" id="{F449A0CF-30F8-4983-87D2-FD15DDB82A24}"/>
            </a:ext>
          </a:extLst>
        </xdr:cNvPr>
        <xdr:cNvSpPr/>
      </xdr:nvSpPr>
      <xdr:spPr>
        <a:xfrm>
          <a:off x="2665790" y="73478"/>
          <a:ext cx="13420877" cy="5438322"/>
        </a:xfrm>
        <a:prstGeom prst="rect">
          <a:avLst/>
        </a:prstGeom>
        <a:solidFill>
          <a:srgbClr val="D6BCB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359834</xdr:colOff>
      <xdr:row>1</xdr:row>
      <xdr:rowOff>90713</xdr:rowOff>
    </xdr:from>
    <xdr:to>
      <xdr:col>24</xdr:col>
      <xdr:colOff>571500</xdr:colOff>
      <xdr:row>7</xdr:row>
      <xdr:rowOff>27213</xdr:rowOff>
    </xdr:to>
    <xdr:sp macro="" textlink="">
      <xdr:nvSpPr>
        <xdr:cNvPr id="6" name="Rectangle: Rounded Corners 5">
          <a:extLst>
            <a:ext uri="{FF2B5EF4-FFF2-40B4-BE49-F238E27FC236}">
              <a16:creationId xmlns:a16="http://schemas.microsoft.com/office/drawing/2014/main" id="{25FA62C5-65E8-EE1F-D028-91E886AF1B22}"/>
            </a:ext>
          </a:extLst>
        </xdr:cNvPr>
        <xdr:cNvSpPr/>
      </xdr:nvSpPr>
      <xdr:spPr>
        <a:xfrm>
          <a:off x="2815167" y="270630"/>
          <a:ext cx="13102166" cy="1016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800">
              <a:solidFill>
                <a:schemeClr val="tx1"/>
              </a:solidFill>
              <a:latin typeface="Arial Black" panose="020B0A04020102020204" pitchFamily="34" charset="0"/>
            </a:rPr>
            <a:t>DASHBOARD</a:t>
          </a:r>
        </a:p>
      </xdr:txBody>
    </xdr:sp>
    <xdr:clientData/>
  </xdr:twoCellAnchor>
  <xdr:twoCellAnchor>
    <xdr:from>
      <xdr:col>3</xdr:col>
      <xdr:colOff>406704</xdr:colOff>
      <xdr:row>8</xdr:row>
      <xdr:rowOff>4536</xdr:rowOff>
    </xdr:from>
    <xdr:to>
      <xdr:col>8</xdr:col>
      <xdr:colOff>74085</xdr:colOff>
      <xdr:row>12</xdr:row>
      <xdr:rowOff>157237</xdr:rowOff>
    </xdr:to>
    <xdr:sp macro="" textlink="">
      <xdr:nvSpPr>
        <xdr:cNvPr id="7" name="Rectangle: Rounded Corners 6">
          <a:extLst>
            <a:ext uri="{FF2B5EF4-FFF2-40B4-BE49-F238E27FC236}">
              <a16:creationId xmlns:a16="http://schemas.microsoft.com/office/drawing/2014/main" id="{D6FFC633-C780-4AEF-AA3C-EC823D7119F7}"/>
            </a:ext>
          </a:extLst>
        </xdr:cNvPr>
        <xdr:cNvSpPr/>
      </xdr:nvSpPr>
      <xdr:spPr>
        <a:xfrm>
          <a:off x="2235504" y="1477736"/>
          <a:ext cx="2715381" cy="88930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002060"/>
              </a:solidFill>
            </a:rPr>
            <a:t>Total</a:t>
          </a:r>
          <a:r>
            <a:rPr lang="en-US" sz="1200" b="1" baseline="0">
              <a:solidFill>
                <a:srgbClr val="002060"/>
              </a:solidFill>
            </a:rPr>
            <a:t> Sales</a:t>
          </a:r>
          <a:endParaRPr lang="en-US" sz="1200" b="1">
            <a:solidFill>
              <a:srgbClr val="002060"/>
            </a:solidFill>
          </a:endParaRPr>
        </a:p>
      </xdr:txBody>
    </xdr:sp>
    <xdr:clientData/>
  </xdr:twoCellAnchor>
  <xdr:twoCellAnchor>
    <xdr:from>
      <xdr:col>13</xdr:col>
      <xdr:colOff>42333</xdr:colOff>
      <xdr:row>8</xdr:row>
      <xdr:rowOff>26911</xdr:rowOff>
    </xdr:from>
    <xdr:to>
      <xdr:col>17</xdr:col>
      <xdr:colOff>320222</xdr:colOff>
      <xdr:row>13</xdr:row>
      <xdr:rowOff>1208</xdr:rowOff>
    </xdr:to>
    <xdr:sp macro="" textlink="">
      <xdr:nvSpPr>
        <xdr:cNvPr id="10" name="Rectangle: Rounded Corners 9">
          <a:extLst>
            <a:ext uri="{FF2B5EF4-FFF2-40B4-BE49-F238E27FC236}">
              <a16:creationId xmlns:a16="http://schemas.microsoft.com/office/drawing/2014/main" id="{657F6F31-4054-4B63-9381-E507CCB66E78}"/>
            </a:ext>
          </a:extLst>
        </xdr:cNvPr>
        <xdr:cNvSpPr/>
      </xdr:nvSpPr>
      <xdr:spPr>
        <a:xfrm>
          <a:off x="8636000" y="1466244"/>
          <a:ext cx="2733222" cy="87388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002060"/>
              </a:solidFill>
            </a:rPr>
            <a:t>Total Quantity Sold</a:t>
          </a:r>
        </a:p>
      </xdr:txBody>
    </xdr:sp>
    <xdr:clientData/>
  </xdr:twoCellAnchor>
  <xdr:twoCellAnchor>
    <xdr:from>
      <xdr:col>8</xdr:col>
      <xdr:colOff>267229</xdr:colOff>
      <xdr:row>8</xdr:row>
      <xdr:rowOff>28575</xdr:rowOff>
    </xdr:from>
    <xdr:to>
      <xdr:col>12</xdr:col>
      <xdr:colOff>447147</xdr:colOff>
      <xdr:row>13</xdr:row>
      <xdr:rowOff>226</xdr:rowOff>
    </xdr:to>
    <xdr:sp macro="" textlink="">
      <xdr:nvSpPr>
        <xdr:cNvPr id="12" name="Rectangle: Rounded Corners 11">
          <a:extLst>
            <a:ext uri="{FF2B5EF4-FFF2-40B4-BE49-F238E27FC236}">
              <a16:creationId xmlns:a16="http://schemas.microsoft.com/office/drawing/2014/main" id="{5520ADA2-E7E6-4473-BE3A-FD50B82DDC35}"/>
            </a:ext>
          </a:extLst>
        </xdr:cNvPr>
        <xdr:cNvSpPr/>
      </xdr:nvSpPr>
      <xdr:spPr>
        <a:xfrm>
          <a:off x="5156729" y="1489075"/>
          <a:ext cx="2624668" cy="88446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002060"/>
              </a:solidFill>
            </a:rPr>
            <a:t>Total Profit</a:t>
          </a:r>
        </a:p>
      </xdr:txBody>
    </xdr:sp>
    <xdr:clientData/>
  </xdr:twoCellAnchor>
  <xdr:twoCellAnchor>
    <xdr:from>
      <xdr:col>3</xdr:col>
      <xdr:colOff>337156</xdr:colOff>
      <xdr:row>13</xdr:row>
      <xdr:rowOff>95250</xdr:rowOff>
    </xdr:from>
    <xdr:to>
      <xdr:col>9</xdr:col>
      <xdr:colOff>465668</xdr:colOff>
      <xdr:row>29</xdr:row>
      <xdr:rowOff>137583</xdr:rowOff>
    </xdr:to>
    <xdr:graphicFrame macro="">
      <xdr:nvGraphicFramePr>
        <xdr:cNvPr id="17" name="Chart 16">
          <a:extLst>
            <a:ext uri="{FF2B5EF4-FFF2-40B4-BE49-F238E27FC236}">
              <a16:creationId xmlns:a16="http://schemas.microsoft.com/office/drawing/2014/main" id="{FCC072C4-55DD-6156-FB2A-766A72DBB3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9260</xdr:colOff>
      <xdr:row>13</xdr:row>
      <xdr:rowOff>99483</xdr:rowOff>
    </xdr:from>
    <xdr:to>
      <xdr:col>17</xdr:col>
      <xdr:colOff>302948</xdr:colOff>
      <xdr:row>29</xdr:row>
      <xdr:rowOff>161395</xdr:rowOff>
    </xdr:to>
    <xdr:graphicFrame macro="">
      <xdr:nvGraphicFramePr>
        <xdr:cNvPr id="19" name="Chart 18">
          <a:extLst>
            <a:ext uri="{FF2B5EF4-FFF2-40B4-BE49-F238E27FC236}">
              <a16:creationId xmlns:a16="http://schemas.microsoft.com/office/drawing/2014/main" id="{F1862469-EE75-24C7-C42D-1DF00430ED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486832</xdr:colOff>
      <xdr:row>8</xdr:row>
      <xdr:rowOff>84668</xdr:rowOff>
    </xdr:from>
    <xdr:to>
      <xdr:col>25</xdr:col>
      <xdr:colOff>-1</xdr:colOff>
      <xdr:row>29</xdr:row>
      <xdr:rowOff>158750</xdr:rowOff>
    </xdr:to>
    <xdr:graphicFrame macro="">
      <xdr:nvGraphicFramePr>
        <xdr:cNvPr id="20" name="Chart 19">
          <a:extLst>
            <a:ext uri="{FF2B5EF4-FFF2-40B4-BE49-F238E27FC236}">
              <a16:creationId xmlns:a16="http://schemas.microsoft.com/office/drawing/2014/main" id="{523DCE1A-76AD-88C3-1546-96ECA7060F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166310</xdr:colOff>
      <xdr:row>0</xdr:row>
      <xdr:rowOff>104321</xdr:rowOff>
    </xdr:from>
    <xdr:to>
      <xdr:col>3</xdr:col>
      <xdr:colOff>21167</xdr:colOff>
      <xdr:row>9</xdr:row>
      <xdr:rowOff>42333</xdr:rowOff>
    </xdr:to>
    <mc:AlternateContent xmlns:mc="http://schemas.openxmlformats.org/markup-compatibility/2006" xmlns:a14="http://schemas.microsoft.com/office/drawing/2010/main">
      <mc:Choice Requires="a14">
        <xdr:graphicFrame macro="">
          <xdr:nvGraphicFramePr>
            <xdr:cNvPr id="21" name="Region 2">
              <a:extLst>
                <a:ext uri="{FF2B5EF4-FFF2-40B4-BE49-F238E27FC236}">
                  <a16:creationId xmlns:a16="http://schemas.microsoft.com/office/drawing/2014/main" id="{F4D0102C-2227-4B83-B0AF-D278E5906DA1}"/>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66310" y="104321"/>
              <a:ext cx="1696357" cy="15572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158750</xdr:colOff>
      <xdr:row>10</xdr:row>
      <xdr:rowOff>6955</xdr:rowOff>
    </xdr:from>
    <xdr:to>
      <xdr:col>3</xdr:col>
      <xdr:colOff>21166</xdr:colOff>
      <xdr:row>17</xdr:row>
      <xdr:rowOff>10584</xdr:rowOff>
    </xdr:to>
    <mc:AlternateContent xmlns:mc="http://schemas.openxmlformats.org/markup-compatibility/2006" xmlns:a14="http://schemas.microsoft.com/office/drawing/2010/main">
      <mc:Choice Requires="a14">
        <xdr:graphicFrame macro="">
          <xdr:nvGraphicFramePr>
            <xdr:cNvPr id="22" name="Category 2">
              <a:extLst>
                <a:ext uri="{FF2B5EF4-FFF2-40B4-BE49-F238E27FC236}">
                  <a16:creationId xmlns:a16="http://schemas.microsoft.com/office/drawing/2014/main" id="{35892CBB-BDEA-415B-BAAB-D6C35D3F329C}"/>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58750" y="1806122"/>
              <a:ext cx="1703916" cy="12630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148167</xdr:colOff>
      <xdr:row>17</xdr:row>
      <xdr:rowOff>132747</xdr:rowOff>
    </xdr:from>
    <xdr:to>
      <xdr:col>3</xdr:col>
      <xdr:colOff>10583</xdr:colOff>
      <xdr:row>28</xdr:row>
      <xdr:rowOff>179313</xdr:rowOff>
    </xdr:to>
    <mc:AlternateContent xmlns:mc="http://schemas.openxmlformats.org/markup-compatibility/2006" xmlns:a14="http://schemas.microsoft.com/office/drawing/2010/main">
      <mc:Choice Requires="a14">
        <xdr:graphicFrame macro="">
          <xdr:nvGraphicFramePr>
            <xdr:cNvPr id="23" name="Sub-Category 1">
              <a:extLst>
                <a:ext uri="{FF2B5EF4-FFF2-40B4-BE49-F238E27FC236}">
                  <a16:creationId xmlns:a16="http://schemas.microsoft.com/office/drawing/2014/main" id="{EEBFBC9F-6744-4FA1-A540-77F0CEB581B3}"/>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mlns="">
        <xdr:sp macro="" textlink="">
          <xdr:nvSpPr>
            <xdr:cNvPr id="0" name=""/>
            <xdr:cNvSpPr>
              <a:spLocks noTextEdit="1"/>
            </xdr:cNvSpPr>
          </xdr:nvSpPr>
          <xdr:spPr>
            <a:xfrm>
              <a:off x="148167" y="3191330"/>
              <a:ext cx="1703916" cy="2025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296334</xdr:colOff>
      <xdr:row>0</xdr:row>
      <xdr:rowOff>148166</xdr:rowOff>
    </xdr:from>
    <xdr:to>
      <xdr:col>28</xdr:col>
      <xdr:colOff>302684</xdr:colOff>
      <xdr:row>10</xdr:row>
      <xdr:rowOff>-1</xdr:rowOff>
    </xdr:to>
    <mc:AlternateContent xmlns:mc="http://schemas.openxmlformats.org/markup-compatibility/2006" xmlns:a14="http://schemas.microsoft.com/office/drawing/2010/main">
      <mc:Choice Requires="a14">
        <xdr:graphicFrame macro="">
          <xdr:nvGraphicFramePr>
            <xdr:cNvPr id="24" name="Segment 1">
              <a:extLst>
                <a:ext uri="{FF2B5EF4-FFF2-40B4-BE49-F238E27FC236}">
                  <a16:creationId xmlns:a16="http://schemas.microsoft.com/office/drawing/2014/main" id="{1011188C-D634-4C48-A4A9-9D8212312241}"/>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5642167" y="148166"/>
              <a:ext cx="1847850" cy="1651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306917</xdr:colOff>
      <xdr:row>11</xdr:row>
      <xdr:rowOff>0</xdr:rowOff>
    </xdr:from>
    <xdr:to>
      <xdr:col>28</xdr:col>
      <xdr:colOff>332317</xdr:colOff>
      <xdr:row>20</xdr:row>
      <xdr:rowOff>38100</xdr:rowOff>
    </xdr:to>
    <mc:AlternateContent xmlns:mc="http://schemas.openxmlformats.org/markup-compatibility/2006" xmlns:a14="http://schemas.microsoft.com/office/drawing/2010/main">
      <mc:Choice Requires="a14">
        <xdr:graphicFrame macro="">
          <xdr:nvGraphicFramePr>
            <xdr:cNvPr id="25" name="Region 3">
              <a:extLst>
                <a:ext uri="{FF2B5EF4-FFF2-40B4-BE49-F238E27FC236}">
                  <a16:creationId xmlns:a16="http://schemas.microsoft.com/office/drawing/2014/main" id="{27038FEA-EE71-462C-8C25-A773798AA6CE}"/>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5652750" y="1979083"/>
              <a:ext cx="1866900" cy="1657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552450</xdr:colOff>
      <xdr:row>9</xdr:row>
      <xdr:rowOff>114300</xdr:rowOff>
    </xdr:from>
    <xdr:to>
      <xdr:col>7</xdr:col>
      <xdr:colOff>488950</xdr:colOff>
      <xdr:row>12</xdr:row>
      <xdr:rowOff>25400</xdr:rowOff>
    </xdr:to>
    <xdr:sp macro="" textlink="">
      <xdr:nvSpPr>
        <xdr:cNvPr id="26" name="TextBox 25">
          <a:extLst>
            <a:ext uri="{FF2B5EF4-FFF2-40B4-BE49-F238E27FC236}">
              <a16:creationId xmlns:a16="http://schemas.microsoft.com/office/drawing/2014/main" id="{A3A34ED8-A762-CA67-6737-938C190425CF}"/>
            </a:ext>
          </a:extLst>
        </xdr:cNvPr>
        <xdr:cNvSpPr txBox="1"/>
      </xdr:nvSpPr>
      <xdr:spPr>
        <a:xfrm>
          <a:off x="2381250" y="1771650"/>
          <a:ext cx="2374900" cy="463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ysClr val="windowText" lastClr="000000"/>
              </a:solidFill>
            </a:rPr>
            <a:t>$43971.37</a:t>
          </a:r>
        </a:p>
      </xdr:txBody>
    </xdr:sp>
    <xdr:clientData/>
  </xdr:twoCellAnchor>
  <xdr:twoCellAnchor>
    <xdr:from>
      <xdr:col>8</xdr:col>
      <xdr:colOff>374650</xdr:colOff>
      <xdr:row>9</xdr:row>
      <xdr:rowOff>127000</xdr:rowOff>
    </xdr:from>
    <xdr:to>
      <xdr:col>12</xdr:col>
      <xdr:colOff>254000</xdr:colOff>
      <xdr:row>12</xdr:row>
      <xdr:rowOff>57150</xdr:rowOff>
    </xdr:to>
    <xdr:sp macro="" textlink="">
      <xdr:nvSpPr>
        <xdr:cNvPr id="27" name="TextBox 26">
          <a:extLst>
            <a:ext uri="{FF2B5EF4-FFF2-40B4-BE49-F238E27FC236}">
              <a16:creationId xmlns:a16="http://schemas.microsoft.com/office/drawing/2014/main" id="{927B39E3-4063-258D-A758-082CA03B78EA}"/>
            </a:ext>
          </a:extLst>
        </xdr:cNvPr>
        <xdr:cNvSpPr txBox="1"/>
      </xdr:nvSpPr>
      <xdr:spPr>
        <a:xfrm>
          <a:off x="5251450" y="1784350"/>
          <a:ext cx="2317750" cy="482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$7140.44</a:t>
          </a:r>
        </a:p>
      </xdr:txBody>
    </xdr:sp>
    <xdr:clientData/>
  </xdr:twoCellAnchor>
  <xdr:twoCellAnchor>
    <xdr:from>
      <xdr:col>13</xdr:col>
      <xdr:colOff>209550</xdr:colOff>
      <xdr:row>9</xdr:row>
      <xdr:rowOff>139700</xdr:rowOff>
    </xdr:from>
    <xdr:to>
      <xdr:col>17</xdr:col>
      <xdr:colOff>133350</xdr:colOff>
      <xdr:row>12</xdr:row>
      <xdr:rowOff>50800</xdr:rowOff>
    </xdr:to>
    <xdr:sp macro="" textlink="">
      <xdr:nvSpPr>
        <xdr:cNvPr id="28" name="TextBox 27">
          <a:extLst>
            <a:ext uri="{FF2B5EF4-FFF2-40B4-BE49-F238E27FC236}">
              <a16:creationId xmlns:a16="http://schemas.microsoft.com/office/drawing/2014/main" id="{A731EE42-2292-FE6C-1C95-6DCD1C34484F}"/>
            </a:ext>
          </a:extLst>
        </xdr:cNvPr>
        <xdr:cNvSpPr txBox="1"/>
      </xdr:nvSpPr>
      <xdr:spPr>
        <a:xfrm>
          <a:off x="8134350" y="1797050"/>
          <a:ext cx="2362200" cy="463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597</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584200</xdr:colOff>
      <xdr:row>1</xdr:row>
      <xdr:rowOff>6350</xdr:rowOff>
    </xdr:from>
    <xdr:to>
      <xdr:col>3</xdr:col>
      <xdr:colOff>82550</xdr:colOff>
      <xdr:row>3</xdr:row>
      <xdr:rowOff>76200</xdr:rowOff>
    </xdr:to>
    <xdr:sp macro="" textlink="">
      <xdr:nvSpPr>
        <xdr:cNvPr id="2" name="Rectangle 1">
          <a:extLst>
            <a:ext uri="{FF2B5EF4-FFF2-40B4-BE49-F238E27FC236}">
              <a16:creationId xmlns:a16="http://schemas.microsoft.com/office/drawing/2014/main" id="{C3CC7D21-A9D2-5D2B-6145-81C88BFB4F00}"/>
            </a:ext>
          </a:extLst>
        </xdr:cNvPr>
        <xdr:cNvSpPr/>
      </xdr:nvSpPr>
      <xdr:spPr>
        <a:xfrm>
          <a:off x="584200" y="190500"/>
          <a:ext cx="1327150" cy="4381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tx1"/>
              </a:solidFill>
            </a:rPr>
            <a:t>Key Insights</a:t>
          </a:r>
        </a:p>
      </xdr:txBody>
    </xdr:sp>
    <xdr:clientData/>
  </xdr:twoCellAnchor>
  <xdr:twoCellAnchor>
    <xdr:from>
      <xdr:col>8</xdr:col>
      <xdr:colOff>31750</xdr:colOff>
      <xdr:row>1</xdr:row>
      <xdr:rowOff>0</xdr:rowOff>
    </xdr:from>
    <xdr:to>
      <xdr:col>11</xdr:col>
      <xdr:colOff>228600</xdr:colOff>
      <xdr:row>3</xdr:row>
      <xdr:rowOff>69850</xdr:rowOff>
    </xdr:to>
    <xdr:sp macro="" textlink="">
      <xdr:nvSpPr>
        <xdr:cNvPr id="3" name="Rectangle 2">
          <a:extLst>
            <a:ext uri="{FF2B5EF4-FFF2-40B4-BE49-F238E27FC236}">
              <a16:creationId xmlns:a16="http://schemas.microsoft.com/office/drawing/2014/main" id="{D47CEAE9-6C68-4291-A742-C11466111B08}"/>
            </a:ext>
          </a:extLst>
        </xdr:cNvPr>
        <xdr:cNvSpPr/>
      </xdr:nvSpPr>
      <xdr:spPr>
        <a:xfrm>
          <a:off x="4908550" y="184150"/>
          <a:ext cx="2025650" cy="4381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Recommendations</a:t>
          </a:r>
        </a:p>
      </xdr:txBody>
    </xdr:sp>
    <xdr:clientData/>
  </xdr:twoCellAnchor>
  <xdr:twoCellAnchor>
    <xdr:from>
      <xdr:col>0</xdr:col>
      <xdr:colOff>590550</xdr:colOff>
      <xdr:row>3</xdr:row>
      <xdr:rowOff>171450</xdr:rowOff>
    </xdr:from>
    <xdr:to>
      <xdr:col>6</xdr:col>
      <xdr:colOff>342900</xdr:colOff>
      <xdr:row>19</xdr:row>
      <xdr:rowOff>146050</xdr:rowOff>
    </xdr:to>
    <xdr:sp macro="" textlink="">
      <xdr:nvSpPr>
        <xdr:cNvPr id="4" name="TextBox 3">
          <a:extLst>
            <a:ext uri="{FF2B5EF4-FFF2-40B4-BE49-F238E27FC236}">
              <a16:creationId xmlns:a16="http://schemas.microsoft.com/office/drawing/2014/main" id="{C5E40E3C-CD70-4033-01FC-A26E362416D6}"/>
            </a:ext>
          </a:extLst>
        </xdr:cNvPr>
        <xdr:cNvSpPr txBox="1"/>
      </xdr:nvSpPr>
      <xdr:spPr>
        <a:xfrm>
          <a:off x="590550" y="723900"/>
          <a:ext cx="3409950" cy="2921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a:solidFill>
                <a:schemeClr val="bg1"/>
              </a:solidFill>
              <a:effectLst/>
              <a:latin typeface="+mn-lt"/>
              <a:ea typeface="+mn-ea"/>
              <a:cs typeface="+mn-cs"/>
            </a:rPr>
            <a:t>1. Total Sales:</a:t>
          </a:r>
          <a:r>
            <a:rPr lang="en-US" sz="1100" b="0" i="0">
              <a:solidFill>
                <a:schemeClr val="bg1"/>
              </a:solidFill>
              <a:effectLst/>
              <a:latin typeface="+mn-lt"/>
              <a:ea typeface="+mn-ea"/>
              <a:cs typeface="+mn-cs"/>
            </a:rPr>
            <a:t> $43,971.37</a:t>
          </a:r>
        </a:p>
        <a:p>
          <a:r>
            <a:rPr lang="en-US" sz="1100" b="1" i="0">
              <a:solidFill>
                <a:schemeClr val="bg1"/>
              </a:solidFill>
              <a:effectLst/>
              <a:latin typeface="+mn-lt"/>
              <a:ea typeface="+mn-ea"/>
              <a:cs typeface="+mn-cs"/>
            </a:rPr>
            <a:t>Total Profit:</a:t>
          </a:r>
          <a:r>
            <a:rPr lang="en-US" sz="1100" b="0" i="0">
              <a:solidFill>
                <a:schemeClr val="bg1"/>
              </a:solidFill>
              <a:effectLst/>
              <a:latin typeface="+mn-lt"/>
              <a:ea typeface="+mn-ea"/>
              <a:cs typeface="+mn-cs"/>
            </a:rPr>
            <a:t> $7,140.44</a:t>
          </a:r>
        </a:p>
        <a:p>
          <a:r>
            <a:rPr lang="en-US" sz="1100" b="1" i="0">
              <a:solidFill>
                <a:schemeClr val="bg1"/>
              </a:solidFill>
              <a:effectLst/>
              <a:latin typeface="+mn-lt"/>
              <a:ea typeface="+mn-ea"/>
              <a:cs typeface="+mn-cs"/>
            </a:rPr>
            <a:t>Profit Margin:</a:t>
          </a:r>
          <a:r>
            <a:rPr lang="en-US" sz="1100" b="0" i="0">
              <a:solidFill>
                <a:schemeClr val="bg1"/>
              </a:solidFill>
              <a:effectLst/>
              <a:latin typeface="+mn-lt"/>
              <a:ea typeface="+mn-ea"/>
              <a:cs typeface="+mn-cs"/>
            </a:rPr>
            <a:t> 16%</a:t>
          </a:r>
        </a:p>
        <a:p>
          <a:r>
            <a:rPr lang="en-US" sz="1100" b="1" i="0">
              <a:solidFill>
                <a:schemeClr val="bg1"/>
              </a:solidFill>
              <a:effectLst/>
              <a:latin typeface="+mn-lt"/>
              <a:ea typeface="+mn-ea"/>
              <a:cs typeface="+mn-cs"/>
            </a:rPr>
            <a:t>Total Orders:</a:t>
          </a:r>
          <a:r>
            <a:rPr lang="en-US" sz="1100" b="0" i="0">
              <a:solidFill>
                <a:schemeClr val="bg1"/>
              </a:solidFill>
              <a:effectLst/>
              <a:latin typeface="+mn-lt"/>
              <a:ea typeface="+mn-ea"/>
              <a:cs typeface="+mn-cs"/>
            </a:rPr>
            <a:t> 69</a:t>
          </a:r>
        </a:p>
        <a:p>
          <a:r>
            <a:rPr lang="en-US" sz="1100" b="1" i="0">
              <a:solidFill>
                <a:schemeClr val="bg1"/>
              </a:solidFill>
              <a:effectLst/>
              <a:latin typeface="+mn-lt"/>
              <a:ea typeface="+mn-ea"/>
              <a:cs typeface="+mn-cs"/>
            </a:rPr>
            <a:t>Average Order Value:</a:t>
          </a:r>
          <a:r>
            <a:rPr lang="en-US" sz="1100" b="0" i="0">
              <a:solidFill>
                <a:schemeClr val="bg1"/>
              </a:solidFill>
              <a:effectLst/>
              <a:latin typeface="+mn-lt"/>
              <a:ea typeface="+mn-ea"/>
              <a:cs typeface="+mn-cs"/>
            </a:rPr>
            <a:t> $637.27</a:t>
          </a:r>
        </a:p>
        <a:p>
          <a:r>
            <a:rPr lang="en-US" sz="1100" b="0" i="0">
              <a:solidFill>
                <a:schemeClr val="bg1"/>
              </a:solidFill>
              <a:effectLst/>
              <a:latin typeface="+mn-lt"/>
              <a:ea typeface="+mn-ea"/>
              <a:cs typeface="+mn-cs"/>
            </a:rPr>
            <a:t>This shows a healthy profit margin with strong average order value.</a:t>
          </a:r>
        </a:p>
        <a:p>
          <a:endParaRPr lang="en-US" sz="1100" b="0" i="0">
            <a:solidFill>
              <a:schemeClr val="bg1"/>
            </a:solidFill>
            <a:effectLst/>
            <a:latin typeface="+mn-lt"/>
            <a:ea typeface="+mn-ea"/>
            <a:cs typeface="+mn-cs"/>
          </a:endParaRPr>
        </a:p>
        <a:p>
          <a:r>
            <a:rPr lang="en-US" sz="1100" b="0" i="0">
              <a:solidFill>
                <a:schemeClr val="bg1"/>
              </a:solidFill>
              <a:effectLst/>
              <a:latin typeface="+mn-lt"/>
              <a:ea typeface="+mn-ea"/>
              <a:cs typeface="+mn-cs"/>
            </a:rPr>
            <a:t>2. With $7,140 profit on $43,971 sales, the business keeps </a:t>
          </a:r>
          <a:r>
            <a:rPr lang="en-US" sz="1100" b="1" i="0">
              <a:solidFill>
                <a:schemeClr val="bg1"/>
              </a:solidFill>
              <a:effectLst/>
              <a:latin typeface="+mn-lt"/>
              <a:ea typeface="+mn-ea"/>
              <a:cs typeface="+mn-cs"/>
            </a:rPr>
            <a:t>$0.16 for every $1 sold</a:t>
          </a:r>
          <a:r>
            <a:rPr lang="en-US" sz="1100" b="0" i="0">
              <a:solidFill>
                <a:schemeClr val="bg1"/>
              </a:solidFill>
              <a:effectLst/>
              <a:latin typeface="+mn-lt"/>
              <a:ea typeface="+mn-ea"/>
              <a:cs typeface="+mn-cs"/>
            </a:rPr>
            <a:t>. This is a solid retail margin, suggesting good pricing and cost control.</a:t>
          </a:r>
        </a:p>
        <a:p>
          <a:endParaRPr lang="en-US" sz="1100" b="0" i="0">
            <a:solidFill>
              <a:schemeClr val="bg1"/>
            </a:solidFill>
            <a:effectLst/>
            <a:latin typeface="+mn-lt"/>
            <a:ea typeface="+mn-ea"/>
            <a:cs typeface="+mn-cs"/>
          </a:endParaRPr>
        </a:p>
        <a:p>
          <a:r>
            <a:rPr lang="en-US" sz="1100" b="0" i="0">
              <a:solidFill>
                <a:schemeClr val="bg1"/>
              </a:solidFill>
              <a:effectLst/>
              <a:latin typeface="+mn-lt"/>
              <a:ea typeface="+mn-ea"/>
              <a:cs typeface="+mn-cs"/>
            </a:rPr>
            <a:t>3. The average order value of </a:t>
          </a:r>
          <a:r>
            <a:rPr lang="en-US" sz="1100" b="1" i="0">
              <a:solidFill>
                <a:schemeClr val="bg1"/>
              </a:solidFill>
              <a:effectLst/>
              <a:latin typeface="+mn-lt"/>
              <a:ea typeface="+mn-ea"/>
              <a:cs typeface="+mn-cs"/>
            </a:rPr>
            <a:t>$637</a:t>
          </a:r>
          <a:r>
            <a:rPr lang="en-US" sz="1100" b="0" i="0">
              <a:solidFill>
                <a:schemeClr val="bg1"/>
              </a:solidFill>
              <a:effectLst/>
              <a:latin typeface="+mn-lt"/>
              <a:ea typeface="+mn-ea"/>
              <a:cs typeface="+mn-cs"/>
            </a:rPr>
            <a:t> is relatively high, indicating customers are buying multiple items or premium products per transaction rather than small individual purchases.</a:t>
          </a:r>
        </a:p>
        <a:p>
          <a:endParaRPr lang="en-US" sz="1100" b="0" i="0">
            <a:solidFill>
              <a:schemeClr val="bg1"/>
            </a:solidFill>
            <a:effectLst/>
            <a:latin typeface="+mn-lt"/>
            <a:ea typeface="+mn-ea"/>
            <a:cs typeface="+mn-cs"/>
          </a:endParaRPr>
        </a:p>
        <a:p>
          <a:br>
            <a:rPr lang="en-US">
              <a:solidFill>
                <a:schemeClr val="bg1"/>
              </a:solidFill>
            </a:rPr>
          </a:br>
          <a:endParaRPr lang="en-US" sz="1100">
            <a:solidFill>
              <a:schemeClr val="bg1"/>
            </a:solidFill>
          </a:endParaRPr>
        </a:p>
      </xdr:txBody>
    </xdr:sp>
    <xdr:clientData/>
  </xdr:twoCellAnchor>
  <xdr:twoCellAnchor>
    <xdr:from>
      <xdr:col>8</xdr:col>
      <xdr:colOff>31750</xdr:colOff>
      <xdr:row>3</xdr:row>
      <xdr:rowOff>171450</xdr:rowOff>
    </xdr:from>
    <xdr:to>
      <xdr:col>17</xdr:col>
      <xdr:colOff>44450</xdr:colOff>
      <xdr:row>14</xdr:row>
      <xdr:rowOff>6350</xdr:rowOff>
    </xdr:to>
    <xdr:sp macro="" textlink="">
      <xdr:nvSpPr>
        <xdr:cNvPr id="5" name="TextBox 4">
          <a:extLst>
            <a:ext uri="{FF2B5EF4-FFF2-40B4-BE49-F238E27FC236}">
              <a16:creationId xmlns:a16="http://schemas.microsoft.com/office/drawing/2014/main" id="{E70CE43B-EB4D-82BE-A71B-D6008D7A6264}"/>
            </a:ext>
          </a:extLst>
        </xdr:cNvPr>
        <xdr:cNvSpPr txBox="1"/>
      </xdr:nvSpPr>
      <xdr:spPr>
        <a:xfrm>
          <a:off x="4908550" y="723900"/>
          <a:ext cx="5499100" cy="18605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bg1"/>
              </a:solidFill>
              <a:effectLst/>
              <a:latin typeface="+mn-lt"/>
              <a:ea typeface="+mn-ea"/>
              <a:cs typeface="+mn-cs"/>
            </a:rPr>
            <a:t>1. Since average order value is already strong ($637), the biggest growth opportunity is getting </a:t>
          </a:r>
          <a:r>
            <a:rPr lang="en-US" sz="1100" b="1" i="0">
              <a:solidFill>
                <a:schemeClr val="bg1"/>
              </a:solidFill>
              <a:effectLst/>
              <a:latin typeface="+mn-lt"/>
              <a:ea typeface="+mn-ea"/>
              <a:cs typeface="+mn-cs"/>
            </a:rPr>
            <a:t>more orders</a:t>
          </a:r>
          <a:r>
            <a:rPr lang="en-US" sz="1100" b="0" i="0">
              <a:solidFill>
                <a:schemeClr val="bg1"/>
              </a:solidFill>
              <a:effectLst/>
              <a:latin typeface="+mn-lt"/>
              <a:ea typeface="+mn-ea"/>
              <a:cs typeface="+mn-cs"/>
            </a:rPr>
            <a:t> from existing customers.</a:t>
          </a:r>
          <a:r>
            <a:rPr lang="en-US" sz="1100" b="0" i="0" baseline="0">
              <a:solidFill>
                <a:schemeClr val="bg1"/>
              </a:solidFill>
              <a:effectLst/>
              <a:latin typeface="+mn-lt"/>
              <a:ea typeface="+mn-ea"/>
              <a:cs typeface="+mn-cs"/>
            </a:rPr>
            <a:t> The business could i</a:t>
          </a:r>
          <a:r>
            <a:rPr lang="en-US" sz="1100" b="0" i="0">
              <a:solidFill>
                <a:schemeClr val="bg1"/>
              </a:solidFill>
              <a:effectLst/>
              <a:latin typeface="+mn-lt"/>
              <a:ea typeface="+mn-ea"/>
              <a:cs typeface="+mn-cs"/>
            </a:rPr>
            <a:t>mplement a customer loyalty or email follow-up program to encourage repeat purchases within 30-60 days.</a:t>
          </a:r>
        </a:p>
        <a:p>
          <a:endParaRPr lang="en-US" sz="1100">
            <a:solidFill>
              <a:schemeClr val="bg1"/>
            </a:solidFill>
          </a:endParaRPr>
        </a:p>
        <a:p>
          <a:r>
            <a:rPr lang="en-US" sz="1100">
              <a:solidFill>
                <a:schemeClr val="bg1"/>
              </a:solidFill>
            </a:rPr>
            <a:t>2. </a:t>
          </a:r>
          <a:r>
            <a:rPr lang="en-US" sz="1100" b="0" i="0">
              <a:solidFill>
                <a:schemeClr val="bg1"/>
              </a:solidFill>
              <a:effectLst/>
              <a:latin typeface="+mn-lt"/>
              <a:ea typeface="+mn-ea"/>
              <a:cs typeface="+mn-cs"/>
            </a:rPr>
            <a:t> The business should focus on  marketing high-margin items and consider adjusting pricing/discounts for low-margin products.</a:t>
          </a:r>
        </a:p>
        <a:p>
          <a:endParaRPr lang="en-US" sz="1100" b="0" i="0">
            <a:solidFill>
              <a:schemeClr val="bg1"/>
            </a:solidFill>
            <a:effectLst/>
            <a:latin typeface="+mn-lt"/>
            <a:ea typeface="+mn-ea"/>
            <a:cs typeface="+mn-cs"/>
          </a:endParaRPr>
        </a:p>
        <a:p>
          <a:r>
            <a:rPr lang="en-US" sz="1100" b="0" i="0">
              <a:solidFill>
                <a:schemeClr val="bg1"/>
              </a:solidFill>
              <a:effectLst/>
              <a:latin typeface="+mn-lt"/>
              <a:ea typeface="+mn-ea"/>
              <a:cs typeface="+mn-cs"/>
            </a:rPr>
            <a:t>3. The business should prioritize the regions (central</a:t>
          </a:r>
          <a:r>
            <a:rPr lang="en-US" sz="1100" b="0" i="0" baseline="0">
              <a:solidFill>
                <a:schemeClr val="bg1"/>
              </a:solidFill>
              <a:effectLst/>
              <a:latin typeface="+mn-lt"/>
              <a:ea typeface="+mn-ea"/>
              <a:cs typeface="+mn-cs"/>
            </a:rPr>
            <a:t> and west) </a:t>
          </a:r>
          <a:r>
            <a:rPr lang="en-US" sz="1100" b="0" i="0">
              <a:solidFill>
                <a:schemeClr val="bg1"/>
              </a:solidFill>
              <a:effectLst/>
              <a:latin typeface="+mn-lt"/>
              <a:ea typeface="+mn-ea"/>
              <a:cs typeface="+mn-cs"/>
            </a:rPr>
            <a:t>, customer segments (consumers</a:t>
          </a:r>
          <a:r>
            <a:rPr lang="en-US" sz="1100" b="0" i="0" baseline="0">
              <a:solidFill>
                <a:schemeClr val="bg1"/>
              </a:solidFill>
              <a:effectLst/>
              <a:latin typeface="+mn-lt"/>
              <a:ea typeface="+mn-ea"/>
              <a:cs typeface="+mn-cs"/>
            </a:rPr>
            <a:t> adn corporate sector) </a:t>
          </a:r>
          <a:r>
            <a:rPr lang="en-US" sz="1100" b="0" i="0">
              <a:solidFill>
                <a:schemeClr val="bg1"/>
              </a:solidFill>
              <a:effectLst/>
              <a:latin typeface="+mn-lt"/>
              <a:ea typeface="+mn-ea"/>
              <a:cs typeface="+mn-cs"/>
            </a:rPr>
            <a:t> and product categories</a:t>
          </a:r>
          <a:r>
            <a:rPr lang="en-US" sz="1100" b="0" i="0" baseline="0">
              <a:solidFill>
                <a:schemeClr val="bg1"/>
              </a:solidFill>
              <a:effectLst/>
              <a:latin typeface="+mn-lt"/>
              <a:ea typeface="+mn-ea"/>
              <a:cs typeface="+mn-cs"/>
            </a:rPr>
            <a:t> (office supplies and technology) that earn more profit and sell more. </a:t>
          </a:r>
          <a:endParaRPr lang="en-US" sz="1100">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73.902093055556" createdVersion="8" refreshedVersion="8" minRefreshableVersion="3" recordCount="155" xr:uid="{FDC35A89-81DE-4C4C-A628-4D71C1B7233A}">
  <cacheSource type="worksheet">
    <worksheetSource ref="A2:P157" sheet="Cleaned Data"/>
  </cacheSource>
  <cacheFields count="16">
    <cacheField name="Order ID" numFmtId="0">
      <sharedItems/>
    </cacheField>
    <cacheField name="Order Date" numFmtId="14">
      <sharedItems/>
    </cacheField>
    <cacheField name="Customer ID" numFmtId="0">
      <sharedItems count="67">
        <s v="GA-14725"/>
        <s v="SC-20725"/>
        <s v="DP-13390"/>
        <s v="JM-15250"/>
        <s v="AS-10045"/>
        <s v="TS-21655"/>
        <s v="FW-14395"/>
        <s v="DL-13315"/>
        <s v="CM-12385"/>
        <s v="BW-11110"/>
        <s v="TS-21085"/>
        <s v="JF-15190"/>
        <s v="RS-19420"/>
        <s v="BP-11290"/>
        <s v="DA-13450"/>
        <s v="LS-16945"/>
        <s v="DB-13120"/>
        <s v="CP-12085"/>
        <s v="RB-19570"/>
        <s v="TP-21565"/>
        <s v="BH-11710"/>
        <s v="SO-20335"/>
        <s v="HR-14770"/>
        <s v="RW-19690"/>
        <s v="SC-20095"/>
        <s v="TT-21460"/>
        <s v="TB-21250"/>
        <s v="JO-15145"/>
        <s v="AR-10540"/>
        <s v="DL-12865"/>
        <s v="NS-18505"/>
        <s v="RM-19375"/>
        <s v="CV-12805"/>
        <s v="TH-21100"/>
        <s v="TM-21010"/>
        <s v="JF-15490"/>
        <s v="ML-17410"/>
        <s v="DS-13030"/>
        <s v="PS-19045"/>
        <s v="MH-18115"/>
        <s v="BE-11410"/>
        <s v="AD-10180"/>
        <s v="EH-13765"/>
        <s v="MC-17605"/>
        <s v="CS-12250"/>
        <s v="HP-14815"/>
        <s v="TP-21130"/>
        <s v="KD-16495"/>
        <s v="CA-11965"/>
        <s v="CG-12520"/>
        <s v="CJ-12010"/>
        <s v="BD-11500"/>
        <s v="JH-15820"/>
        <s v="TG-21310"/>
        <s v="BT-11305"/>
        <s v="GB-14575"/>
        <s v="CL-12700"/>
        <s v="CK-12595"/>
        <s v="VG-21790"/>
        <s v="RD-19585"/>
        <s v="BD-11770"/>
        <s v="BV-11245"/>
        <s v="MM-17920"/>
        <s v="EH-14125"/>
        <s v="EB-13870"/>
        <s v="LP-17095"/>
        <s v="SZ-20035"/>
      </sharedItems>
    </cacheField>
    <cacheField name="Customer Name" numFmtId="0">
      <sharedItems/>
    </cacheField>
    <cacheField name="Segment" numFmtId="0">
      <sharedItems count="3">
        <s v="Consumer"/>
        <s v="Home Office"/>
        <s v="Corporate"/>
      </sharedItems>
    </cacheField>
    <cacheField name="City" numFmtId="0">
      <sharedItems/>
    </cacheField>
    <cacheField name="State" numFmtId="0">
      <sharedItems/>
    </cacheField>
    <cacheField name="Region" numFmtId="0">
      <sharedItems count="4">
        <s v="East"/>
        <s v="West"/>
        <s v="Central"/>
        <s v="South"/>
      </sharedItems>
    </cacheField>
    <cacheField name="Product ID" numFmtId="0">
      <sharedItems/>
    </cacheField>
    <cacheField name="Category" numFmtId="0">
      <sharedItems count="3">
        <s v="Furniture"/>
        <s v="Office Supplies"/>
        <s v="Technology"/>
      </sharedItems>
    </cacheField>
    <cacheField name="Sub-Category" numFmtId="0">
      <sharedItems count="17">
        <s v="Furnishings"/>
        <s v="Binders"/>
        <s v="Storage"/>
        <s v="Chairs"/>
        <s v="Art"/>
        <s v="Appliances"/>
        <s v="Machines"/>
        <s v="Tables"/>
        <s v="Accessories"/>
        <s v="Paper"/>
        <s v="Supplies"/>
        <s v="Fasteners"/>
        <s v="Envelopes"/>
        <s v="Bookcases"/>
        <s v="Phones"/>
        <s v="Labels"/>
        <s v="Copiers"/>
      </sharedItems>
    </cacheField>
    <cacheField name="Product Name" numFmtId="0">
      <sharedItems/>
    </cacheField>
    <cacheField name="Sales" numFmtId="44">
      <sharedItems containsSemiMixedTypes="0" containsString="0" containsNumber="1" minValue="2.04" maxValue="5443.96"/>
    </cacheField>
    <cacheField name="Quantity" numFmtId="0">
      <sharedItems containsSemiMixedTypes="0" containsString="0" containsNumber="1" containsInteger="1" minValue="1" maxValue="14"/>
    </cacheField>
    <cacheField name="Discount" numFmtId="10">
      <sharedItems containsSemiMixedTypes="0" containsString="0" containsNumber="1" minValue="0" maxValue="0.8"/>
    </cacheField>
    <cacheField name="Profit" numFmtId="44">
      <sharedItems containsSemiMixedTypes="0" containsString="0" containsNumber="1" minValue="-1141.47" maxValue="2504.2215999999999"/>
    </cacheField>
  </cacheFields>
  <extLst>
    <ext xmlns:x14="http://schemas.microsoft.com/office/spreadsheetml/2009/9/main" uri="{725AE2AE-9491-48be-B2B4-4EB974FC3084}">
      <x14:pivotCacheDefinition pivotCacheId="3834918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
  <r>
    <s v="CA-2017-107503"/>
    <s v="01/01/2017"/>
    <x v="0"/>
    <s v="Guy Armstrong"/>
    <x v="0"/>
    <s v="Lorain"/>
    <s v="Ohio"/>
    <x v="0"/>
    <s v="FUR-FU-10003878"/>
    <x v="0"/>
    <x v="0"/>
    <s v="Linden 10&quot; Round Wall Clock, Black"/>
    <n v="48.896000000000001"/>
    <n v="4"/>
    <n v="0.2"/>
    <n v="8.5568000000000008"/>
  </r>
  <r>
    <s v="CA-2017-144463"/>
    <s v="01/01/2017"/>
    <x v="1"/>
    <s v="Steven Cartwright"/>
    <x v="0"/>
    <s v="Los Angeles"/>
    <s v="California"/>
    <x v="1"/>
    <s v="FUR-FU-10001215"/>
    <x v="0"/>
    <x v="0"/>
    <s v="Howard Miller 11-1/2&quot; Diameter Brentwood Wall Clock"/>
    <n v="474.43"/>
    <n v="11"/>
    <n v="0"/>
    <n v="199.26060000000001"/>
  </r>
  <r>
    <s v="CA-2017-154466"/>
    <s v="01/01/2017"/>
    <x v="2"/>
    <s v="Dennis Pardue"/>
    <x v="1"/>
    <s v="Franklin"/>
    <s v="Wisconsin"/>
    <x v="2"/>
    <s v="OFF-BI-10002012"/>
    <x v="1"/>
    <x v="1"/>
    <s v="Wilson Jones Easy Flow II Sheet Lifters"/>
    <n v="3.6"/>
    <n v="2"/>
    <n v="0"/>
    <n v="1.728"/>
  </r>
  <r>
    <s v="CA-2017-151750"/>
    <s v="01/01/2017"/>
    <x v="3"/>
    <s v="Janet Martin"/>
    <x v="0"/>
    <s v="Huntsville"/>
    <s v="Texas"/>
    <x v="2"/>
    <s v="OFF-ST-10002743"/>
    <x v="1"/>
    <x v="2"/>
    <s v="SAFCO Boltless Steel Shelving"/>
    <n v="454.56"/>
    <n v="5"/>
    <n v="0.2"/>
    <n v="-107.958"/>
  </r>
  <r>
    <s v="CA-2017-151750"/>
    <s v="01/01/2017"/>
    <x v="3"/>
    <s v="Janet Martin"/>
    <x v="0"/>
    <s v="Huntsville"/>
    <s v="Texas"/>
    <x v="2"/>
    <s v="FUR-FU-10002116"/>
    <x v="0"/>
    <x v="0"/>
    <s v="Tenex Carpeted, Granite-Look or Clear Contemporary Contour Shape Chair Mats"/>
    <n v="141.41999999999999"/>
    <n v="5"/>
    <n v="0.6"/>
    <n v="-187.38149999999999"/>
  </r>
  <r>
    <s v="CA-2017-151750"/>
    <s v="01/01/2017"/>
    <x v="3"/>
    <s v="Janet Martin"/>
    <x v="0"/>
    <s v="Huntsville"/>
    <s v="Texas"/>
    <x v="2"/>
    <s v="FUR-CH-10003199"/>
    <x v="0"/>
    <x v="3"/>
    <s v="Office Star - Contemporary Task Swivel Chair"/>
    <n v="310.74400000000003"/>
    <n v="4"/>
    <n v="0.3"/>
    <n v="-26.635200000000001"/>
  </r>
  <r>
    <s v="CA-2017-151750"/>
    <s v="01/01/2017"/>
    <x v="3"/>
    <s v="Janet Martin"/>
    <x v="0"/>
    <s v="Huntsville"/>
    <s v="Texas"/>
    <x v="2"/>
    <s v="OFF-AR-10003158"/>
    <x v="1"/>
    <x v="4"/>
    <s v="Fluorescent Highlighters by Dixon"/>
    <n v="12.736000000000001"/>
    <n v="4"/>
    <n v="0.2"/>
    <n v="2.2288000000000001"/>
  </r>
  <r>
    <s v="CA-2017-151750"/>
    <s v="01/01/2017"/>
    <x v="3"/>
    <s v="Janet Martin"/>
    <x v="0"/>
    <s v="Huntsville"/>
    <s v="Texas"/>
    <x v="2"/>
    <s v="OFF-BI-10000301"/>
    <x v="1"/>
    <x v="1"/>
    <s v="GBC Instant Report Kit"/>
    <n v="6.47"/>
    <n v="5"/>
    <n v="0.8"/>
    <n v="-9.7050000000000001"/>
  </r>
  <r>
    <s v="CA-2017-151750"/>
    <s v="01/01/2017"/>
    <x v="3"/>
    <s v="Janet Martin"/>
    <x v="0"/>
    <s v="Huntsville"/>
    <s v="Texas"/>
    <x v="2"/>
    <s v="OFF-BI-10000343"/>
    <x v="1"/>
    <x v="1"/>
    <s v="Pressboard Covers with Storage Hooks, 9 1/2&quot; x 11&quot;, Light Blue"/>
    <n v="13.747999999999999"/>
    <n v="14"/>
    <n v="0.8"/>
    <n v="-22.684200000000001"/>
  </r>
  <r>
    <s v="CA-2017-151750"/>
    <s v="01/01/2017"/>
    <x v="3"/>
    <s v="Janet Martin"/>
    <x v="0"/>
    <s v="Huntsville"/>
    <s v="Texas"/>
    <x v="2"/>
    <s v="OFF-AP-10004708"/>
    <x v="1"/>
    <x v="5"/>
    <s v="Fellowes Superior 10 Outlet Split Surge Protector"/>
    <n v="15.224"/>
    <n v="2"/>
    <n v="0.8"/>
    <n v="-38.821199999999997"/>
  </r>
  <r>
    <s v="CA-2017-113481"/>
    <s v="02/01/2017"/>
    <x v="4"/>
    <s v="Aaron Smayling"/>
    <x v="2"/>
    <s v="Jacksonville"/>
    <s v="North Carolina"/>
    <x v="3"/>
    <s v="TEC-MA-10002178"/>
    <x v="2"/>
    <x v="6"/>
    <s v="Cisco CP-7937G Unified IP Conference Station Phone"/>
    <n v="695.7"/>
    <n v="2"/>
    <n v="0.5"/>
    <n v="-27.827999999999999"/>
  </r>
  <r>
    <s v="CA-2017-113481"/>
    <s v="02/01/2017"/>
    <x v="4"/>
    <s v="Aaron Smayling"/>
    <x v="2"/>
    <s v="Jacksonville"/>
    <s v="North Carolina"/>
    <x v="3"/>
    <s v="OFF-BI-10003694"/>
    <x v="1"/>
    <x v="1"/>
    <s v="Avery 3 1/2&quot; Diskette Storage Pages, 10/Pack"/>
    <n v="15.66"/>
    <n v="5"/>
    <n v="0.7"/>
    <n v="-12.528"/>
  </r>
  <r>
    <s v="CA-2017-113481"/>
    <s v="02/01/2017"/>
    <x v="4"/>
    <s v="Aaron Smayling"/>
    <x v="2"/>
    <s v="Jacksonville"/>
    <s v="North Carolina"/>
    <x v="3"/>
    <s v="OFF-BI-10000474"/>
    <x v="1"/>
    <x v="1"/>
    <s v="Avery Recycled Flexi-View Covers for Binding Systems"/>
    <n v="28.853999999999999"/>
    <n v="6"/>
    <n v="0.7"/>
    <n v="-21.159600000000001"/>
  </r>
  <r>
    <s v="CA-2017-147207"/>
    <s v="02/01/2017"/>
    <x v="5"/>
    <s v="Trudy Schmidt"/>
    <x v="0"/>
    <s v="El Paso"/>
    <s v="Texas"/>
    <x v="2"/>
    <s v="OFF-AR-10001955"/>
    <x v="1"/>
    <x v="4"/>
    <s v="Newell 319"/>
    <n v="31.744"/>
    <n v="2"/>
    <n v="0.2"/>
    <n v="3.968"/>
  </r>
  <r>
    <s v="CA-2017-147207"/>
    <s v="02/01/2017"/>
    <x v="5"/>
    <s v="Trudy Schmidt"/>
    <x v="0"/>
    <s v="El Paso"/>
    <s v="Texas"/>
    <x v="2"/>
    <s v="OFF-AP-10000027"/>
    <x v="1"/>
    <x v="5"/>
    <s v="Hoover Commercial SteamVac"/>
    <n v="5.4320000000000004"/>
    <n v="2"/>
    <n v="0.8"/>
    <n v="-13.58"/>
  </r>
  <r>
    <s v="CA-2017-147207"/>
    <s v="02/01/2017"/>
    <x v="5"/>
    <s v="Trudy Schmidt"/>
    <x v="0"/>
    <s v="El Paso"/>
    <s v="Texas"/>
    <x v="2"/>
    <s v="FUR-TA-10002958"/>
    <x v="0"/>
    <x v="7"/>
    <s v="Bevis Oval Conference Table, Walnut"/>
    <n v="913.43"/>
    <n v="5"/>
    <n v="0.3"/>
    <n v="-169.637"/>
  </r>
  <r>
    <s v="CA-2017-147207"/>
    <s v="02/01/2017"/>
    <x v="5"/>
    <s v="Trudy Schmidt"/>
    <x v="0"/>
    <s v="El Paso"/>
    <s v="Texas"/>
    <x v="2"/>
    <s v="OFF-ST-10002615"/>
    <x v="1"/>
    <x v="2"/>
    <s v="Dual Level, Single-Width Filing Carts"/>
    <n v="372.14400000000001"/>
    <n v="3"/>
    <n v="0.2"/>
    <n v="27.910799999999998"/>
  </r>
  <r>
    <s v="CA-2017-118668"/>
    <s v="02/01/2017"/>
    <x v="6"/>
    <s v="Fred Wasserman"/>
    <x v="2"/>
    <s v="Los Angeles"/>
    <s v="California"/>
    <x v="1"/>
    <s v="TEC-AC-10000682"/>
    <x v="2"/>
    <x v="8"/>
    <s v="Kensington K72356US Mouse-in-a-Box USB Desktop Mouse"/>
    <n v="16.59"/>
    <n v="1"/>
    <n v="0"/>
    <n v="5.8064999999999998"/>
  </r>
  <r>
    <s v="US-2017-114034"/>
    <s v="03/01/2017"/>
    <x v="7"/>
    <s v="Delfina Latchford"/>
    <x v="0"/>
    <s v="Rancho Cucamonga"/>
    <s v="California"/>
    <x v="1"/>
    <s v="OFF-PA-10004735"/>
    <x v="1"/>
    <x v="9"/>
    <s v="Xerox 1905"/>
    <n v="38.880000000000003"/>
    <n v="6"/>
    <n v="0"/>
    <n v="18.662400000000002"/>
  </r>
  <r>
    <s v="CA-2017-111738"/>
    <s v="03/01/2017"/>
    <x v="8"/>
    <s v="Christopher Martinez"/>
    <x v="0"/>
    <s v="San Francisco"/>
    <s v="California"/>
    <x v="1"/>
    <s v="OFF-BI-10004584"/>
    <x v="1"/>
    <x v="1"/>
    <s v="GBC ProClick 150 Presentation Binding System"/>
    <n v="2022.2719999999999"/>
    <n v="8"/>
    <n v="0.2"/>
    <n v="682.51679999999999"/>
  </r>
  <r>
    <s v="CA-2017-111738"/>
    <s v="03/01/2017"/>
    <x v="8"/>
    <s v="Christopher Martinez"/>
    <x v="0"/>
    <s v="San Francisco"/>
    <s v="California"/>
    <x v="1"/>
    <s v="OFF-AR-10000817"/>
    <x v="1"/>
    <x v="4"/>
    <s v="Manco Dry-Lighter Erasable Highlighter"/>
    <n v="9.1199999999999992"/>
    <n v="3"/>
    <n v="0"/>
    <n v="3.1008"/>
  </r>
  <r>
    <s v="CA-2017-150931"/>
    <s v="06/01/2017"/>
    <x v="2"/>
    <s v="Dennis Pardue"/>
    <x v="1"/>
    <s v="Tuscaloosa"/>
    <s v="Alabama"/>
    <x v="3"/>
    <s v="OFF-BI-10004728"/>
    <x v="1"/>
    <x v="1"/>
    <s v="Wilson Jones Turn Tabs Binder Tool for Ring Binders"/>
    <n v="33.74"/>
    <n v="7"/>
    <n v="0"/>
    <n v="15.5204"/>
  </r>
  <r>
    <s v="CA-2017-159366"/>
    <s v="07/01/2017"/>
    <x v="9"/>
    <s v="Bart Watters"/>
    <x v="2"/>
    <s v="Detroit"/>
    <s v="Michigan"/>
    <x v="2"/>
    <s v="TEC-MA-10000822"/>
    <x v="2"/>
    <x v="6"/>
    <s v="Lexmark MX611dhe Monochrome Laser Printer"/>
    <n v="3059.982"/>
    <n v="2"/>
    <n v="0.1"/>
    <n v="679.99599999999998"/>
  </r>
  <r>
    <s v="US-2017-168690"/>
    <s v="07/01/2017"/>
    <x v="10"/>
    <s v="Thais Sissman"/>
    <x v="0"/>
    <s v="Ormond Beach"/>
    <s v="Florida"/>
    <x v="3"/>
    <s v="OFF-BI-10000145"/>
    <x v="1"/>
    <x v="1"/>
    <s v="Zipper Ring Binder Pockets"/>
    <n v="2.8079999999999998"/>
    <n v="3"/>
    <n v="0.7"/>
    <n v="-1.9656"/>
  </r>
  <r>
    <s v="US-2017-123862"/>
    <s v="07/01/2017"/>
    <x v="11"/>
    <s v="Jamie Frazer"/>
    <x v="0"/>
    <s v="Long Beach"/>
    <s v="California"/>
    <x v="1"/>
    <s v="OFF-ST-10000760"/>
    <x v="1"/>
    <x v="2"/>
    <s v="Eldon Fold 'N Roll Cart System"/>
    <n v="153.78"/>
    <n v="11"/>
    <n v="0"/>
    <n v="44.596200000000003"/>
  </r>
  <r>
    <s v="US-2017-123862"/>
    <s v="07/01/2017"/>
    <x v="11"/>
    <s v="Jamie Frazer"/>
    <x v="0"/>
    <s v="Long Beach"/>
    <s v="California"/>
    <x v="1"/>
    <s v="OFF-ST-10002301"/>
    <x v="1"/>
    <x v="2"/>
    <s v="Tennsco Commercial Shelving"/>
    <n v="61.02"/>
    <n v="3"/>
    <n v="0"/>
    <n v="0.61019999999999996"/>
  </r>
  <r>
    <s v="US-2017-123862"/>
    <s v="07/01/2017"/>
    <x v="11"/>
    <s v="Jamie Frazer"/>
    <x v="0"/>
    <s v="Long Beach"/>
    <s v="California"/>
    <x v="1"/>
    <s v="OFF-SU-10004884"/>
    <x v="1"/>
    <x v="10"/>
    <s v="Acme Galleria Hot Forged Steel Scissors with Colored Handles"/>
    <n v="110.11"/>
    <n v="7"/>
    <n v="0"/>
    <n v="31.931899999999999"/>
  </r>
  <r>
    <s v="US-2017-123862"/>
    <s v="07/01/2017"/>
    <x v="11"/>
    <s v="Jamie Frazer"/>
    <x v="0"/>
    <s v="Long Beach"/>
    <s v="California"/>
    <x v="1"/>
    <s v="OFF-FA-10003112"/>
    <x v="1"/>
    <x v="11"/>
    <s v="Staples"/>
    <n v="7.89"/>
    <n v="1"/>
    <n v="0"/>
    <n v="3.5505"/>
  </r>
  <r>
    <s v="CA-2017-115154"/>
    <s v="08/01/2017"/>
    <x v="12"/>
    <s v="Ricardo Sperren"/>
    <x v="2"/>
    <s v="Seattle"/>
    <s v="Washington"/>
    <x v="1"/>
    <s v="FUR-TA-10001950"/>
    <x v="0"/>
    <x v="7"/>
    <s v="Balt Solid Wood Round Tables"/>
    <n v="892.98"/>
    <n v="2"/>
    <n v="0"/>
    <n v="80.368200000000002"/>
  </r>
  <r>
    <s v="CA-2017-154760"/>
    <s v="09/01/2017"/>
    <x v="13"/>
    <s v="Beth Paige"/>
    <x v="0"/>
    <s v="Philadelphia"/>
    <s v="Pennsylvania"/>
    <x v="0"/>
    <s v="OFF-BI-10004632"/>
    <x v="1"/>
    <x v="1"/>
    <s v="Ibico Hi-Tech Manual Binding System"/>
    <n v="274.49099999999999"/>
    <n v="3"/>
    <n v="0.7"/>
    <n v="-228.74250000000001"/>
  </r>
  <r>
    <s v="US-2017-158512"/>
    <s v="12/01/2017"/>
    <x v="14"/>
    <s v="Dianna Arnett"/>
    <x v="1"/>
    <s v="Washington"/>
    <s v="District of Columbia"/>
    <x v="0"/>
    <s v="OFF-PA-10001804"/>
    <x v="1"/>
    <x v="9"/>
    <s v="Xerox 195"/>
    <n v="40.08"/>
    <n v="6"/>
    <n v="0"/>
    <n v="19.238399999999999"/>
  </r>
  <r>
    <s v="US-2017-158512"/>
    <s v="12/01/2017"/>
    <x v="14"/>
    <s v="Dianna Arnett"/>
    <x v="1"/>
    <s v="Washington"/>
    <s v="District of Columbia"/>
    <x v="0"/>
    <s v="FUR-FU-10004973"/>
    <x v="0"/>
    <x v="0"/>
    <s v="Flat Face Poster Frame"/>
    <n v="37.68"/>
    <n v="2"/>
    <n v="0"/>
    <n v="15.8256"/>
  </r>
  <r>
    <s v="CA-2017-108000"/>
    <s v="12/01/2017"/>
    <x v="15"/>
    <s v="Linda Southworth"/>
    <x v="2"/>
    <s v="San Francisco"/>
    <s v="California"/>
    <x v="1"/>
    <s v="OFF-EN-10002621"/>
    <x v="1"/>
    <x v="12"/>
    <s v="Staple envelope"/>
    <n v="9.7799999999999994"/>
    <n v="1"/>
    <n v="0"/>
    <n v="4.8899999999999997"/>
  </r>
  <r>
    <s v="US-2017-148551"/>
    <s v="12/01/2017"/>
    <x v="16"/>
    <s v="David Bremer"/>
    <x v="2"/>
    <s v="Dallas"/>
    <s v="Texas"/>
    <x v="2"/>
    <s v="OFF-BI-10000545"/>
    <x v="1"/>
    <x v="1"/>
    <s v="GBC Ibimaster 500 Manual ProClick Binding System"/>
    <n v="760.98"/>
    <n v="5"/>
    <n v="0.8"/>
    <n v="-1141.47"/>
  </r>
  <r>
    <s v="US-2017-167402"/>
    <s v="13/01/2017"/>
    <x v="17"/>
    <s v="Cathy Prescott"/>
    <x v="2"/>
    <s v="Springfield"/>
    <s v="Missouri"/>
    <x v="2"/>
    <s v="OFF-PA-10004983"/>
    <x v="1"/>
    <x v="9"/>
    <s v="Xerox 23"/>
    <n v="32.4"/>
    <n v="5"/>
    <n v="0"/>
    <n v="15.552"/>
  </r>
  <r>
    <s v="US-2017-167402"/>
    <s v="13/01/2017"/>
    <x v="17"/>
    <s v="Cathy Prescott"/>
    <x v="2"/>
    <s v="Springfield"/>
    <s v="Missouri"/>
    <x v="2"/>
    <s v="OFF-AR-10004010"/>
    <x v="1"/>
    <x v="4"/>
    <s v="Hunt Boston Vacuum Mount KS Pencil Sharpener"/>
    <n v="209.94"/>
    <n v="6"/>
    <n v="0"/>
    <n v="54.584400000000002"/>
  </r>
  <r>
    <s v="US-2017-167402"/>
    <s v="13/01/2017"/>
    <x v="17"/>
    <s v="Cathy Prescott"/>
    <x v="2"/>
    <s v="Springfield"/>
    <s v="Missouri"/>
    <x v="2"/>
    <s v="OFF-SU-10002881"/>
    <x v="1"/>
    <x v="10"/>
    <s v="Martin Yale Chadless Opener Electric Letter Opener"/>
    <n v="4164.05"/>
    <n v="5"/>
    <n v="0"/>
    <n v="83.281000000000006"/>
  </r>
  <r>
    <s v="US-2017-167402"/>
    <s v="13/01/2017"/>
    <x v="17"/>
    <s v="Cathy Prescott"/>
    <x v="2"/>
    <s v="Springfield"/>
    <s v="Missouri"/>
    <x v="2"/>
    <s v="FUR-BO-10001608"/>
    <x v="0"/>
    <x v="13"/>
    <s v="Hon Metal Bookcases, Black"/>
    <n v="212.94"/>
    <n v="3"/>
    <n v="0"/>
    <n v="53.234999999999999"/>
  </r>
  <r>
    <s v="CA-2017-138779"/>
    <s v="14/01/2017"/>
    <x v="18"/>
    <s v="Rob Beeghly"/>
    <x v="0"/>
    <s v="Jacksonville"/>
    <s v="North Carolina"/>
    <x v="3"/>
    <s v="OFF-EN-10002504"/>
    <x v="1"/>
    <x v="12"/>
    <s v="Tyvek  Top-Opening Peel &amp; Seel Envelopes, Plain White"/>
    <n v="21.744"/>
    <n v="1"/>
    <n v="0.2"/>
    <n v="7.3385999999999996"/>
  </r>
  <r>
    <s v="CA-2017-138779"/>
    <s v="14/01/2017"/>
    <x v="18"/>
    <s v="Rob Beeghly"/>
    <x v="0"/>
    <s v="Jacksonville"/>
    <s v="North Carolina"/>
    <x v="3"/>
    <s v="TEC-PH-10003655"/>
    <x v="2"/>
    <x v="14"/>
    <s v="Sannysis Cute Owl Design Soft Skin Case Cover for Samsung Galaxy S4"/>
    <n v="7.92"/>
    <n v="5"/>
    <n v="0.2"/>
    <n v="0.69299999999999995"/>
  </r>
  <r>
    <s v="US-2017-106131"/>
    <s v="14/01/2017"/>
    <x v="19"/>
    <s v="Tracy Poddar"/>
    <x v="2"/>
    <s v="Aurora"/>
    <s v="Colorado"/>
    <x v="1"/>
    <s v="TEC-AC-10003027"/>
    <x v="2"/>
    <x v="8"/>
    <s v="Imation 8GB Mini TravelDrive USB 2.0 Flash Drive"/>
    <n v="169.06399999999999"/>
    <n v="7"/>
    <n v="0.2"/>
    <n v="-14.793100000000001"/>
  </r>
  <r>
    <s v="US-2017-106131"/>
    <s v="14/01/2017"/>
    <x v="19"/>
    <s v="Tracy Poddar"/>
    <x v="2"/>
    <s v="Aurora"/>
    <s v="Colorado"/>
    <x v="1"/>
    <s v="OFF-ST-10003638"/>
    <x v="1"/>
    <x v="2"/>
    <s v="Mobile Personal File Cube"/>
    <n v="168.624"/>
    <n v="9"/>
    <n v="0.2"/>
    <n v="14.7546"/>
  </r>
  <r>
    <s v="CA-2017-127306"/>
    <s v="14/01/2017"/>
    <x v="20"/>
    <s v="Brosina Hoffman"/>
    <x v="0"/>
    <s v="Johnson City"/>
    <s v="Tennessee"/>
    <x v="3"/>
    <s v="OFF-EN-10001219"/>
    <x v="1"/>
    <x v="12"/>
    <s v="#10- 4 1/8&quot; x 9 1/2&quot; Security-Tint Envelopes"/>
    <n v="18.335999999999999"/>
    <n v="3"/>
    <n v="0.2"/>
    <n v="6.6467999999999998"/>
  </r>
  <r>
    <s v="CA-2017-127306"/>
    <s v="14/01/2017"/>
    <x v="20"/>
    <s v="Brosina Hoffman"/>
    <x v="0"/>
    <s v="Johnson City"/>
    <s v="Tennessee"/>
    <x v="3"/>
    <s v="OFF-PA-10000019"/>
    <x v="1"/>
    <x v="9"/>
    <s v="Xerox 1931"/>
    <n v="36.287999999999997"/>
    <n v="7"/>
    <n v="0.2"/>
    <n v="12.700799999999999"/>
  </r>
  <r>
    <s v="CA-2017-127306"/>
    <s v="14/01/2017"/>
    <x v="20"/>
    <s v="Brosina Hoffman"/>
    <x v="0"/>
    <s v="Johnson City"/>
    <s v="Tennessee"/>
    <x v="3"/>
    <s v="TEC-PH-10001924"/>
    <x v="2"/>
    <x v="14"/>
    <s v="iHome FM Clock Radio with Lightning Dock"/>
    <n v="111.98399999999999"/>
    <n v="2"/>
    <n v="0.2"/>
    <n v="6.9989999999999997"/>
  </r>
  <r>
    <s v="CA-2017-127306"/>
    <s v="14/01/2017"/>
    <x v="20"/>
    <s v="Brosina Hoffman"/>
    <x v="0"/>
    <s v="Johnson City"/>
    <s v="Tennessee"/>
    <x v="3"/>
    <s v="OFF-BI-10002003"/>
    <x v="1"/>
    <x v="1"/>
    <s v="Ibico Presentation Index for Binding Systems"/>
    <n v="5.97"/>
    <n v="5"/>
    <n v="0.7"/>
    <n v="-4.577"/>
  </r>
  <r>
    <s v="CA-2017-127306"/>
    <s v="14/01/2017"/>
    <x v="20"/>
    <s v="Brosina Hoffman"/>
    <x v="0"/>
    <s v="Johnson City"/>
    <s v="Tennessee"/>
    <x v="3"/>
    <s v="OFF-BI-10003727"/>
    <x v="1"/>
    <x v="1"/>
    <s v="Avery Durable Slant Ring Binders With Label Holder"/>
    <n v="2.508"/>
    <n v="2"/>
    <n v="0.7"/>
    <n v="-1.8391999999999999"/>
  </r>
  <r>
    <s v="CA-2017-149076"/>
    <s v="14/01/2017"/>
    <x v="21"/>
    <s v="Sean O'Donnell"/>
    <x v="0"/>
    <s v="Los Angeles"/>
    <s v="California"/>
    <x v="1"/>
    <s v="OFF-PA-10000483"/>
    <x v="1"/>
    <x v="9"/>
    <s v="Xerox 19"/>
    <n v="154.9"/>
    <n v="5"/>
    <n v="0"/>
    <n v="69.704999999999998"/>
  </r>
  <r>
    <s v="CA-2017-113278"/>
    <s v="14/01/2017"/>
    <x v="22"/>
    <s v="Hallie Redmond"/>
    <x v="1"/>
    <s v="Richmond"/>
    <s v="Indiana"/>
    <x v="2"/>
    <s v="OFF-ST-10001590"/>
    <x v="1"/>
    <x v="2"/>
    <s v="Tenex Personal Project File with Scoop Front Design, Black"/>
    <n v="67.400000000000006"/>
    <n v="5"/>
    <n v="0"/>
    <n v="17.524000000000001"/>
  </r>
  <r>
    <s v="CA-2017-113278"/>
    <s v="14/01/2017"/>
    <x v="22"/>
    <s v="Hallie Redmond"/>
    <x v="1"/>
    <s v="Richmond"/>
    <s v="Indiana"/>
    <x v="2"/>
    <s v="OFF-FA-10003472"/>
    <x v="1"/>
    <x v="11"/>
    <s v="Bagged Rubber Bands"/>
    <n v="2.52"/>
    <n v="2"/>
    <n v="0"/>
    <n v="0.1008"/>
  </r>
  <r>
    <s v="CA-2017-113278"/>
    <s v="14/01/2017"/>
    <x v="22"/>
    <s v="Hallie Redmond"/>
    <x v="1"/>
    <s v="Richmond"/>
    <s v="Indiana"/>
    <x v="2"/>
    <s v="TEC-PH-10000169"/>
    <x v="2"/>
    <x v="14"/>
    <s v="ARKON Windshield Dashboard Air Vent Car Mount Holder"/>
    <n v="67.8"/>
    <n v="4"/>
    <n v="0"/>
    <n v="1.3560000000000001"/>
  </r>
  <r>
    <s v="CA-2017-113278"/>
    <s v="14/01/2017"/>
    <x v="22"/>
    <s v="Hallie Redmond"/>
    <x v="1"/>
    <s v="Richmond"/>
    <s v="Indiana"/>
    <x v="2"/>
    <s v="OFF-ST-10002562"/>
    <x v="1"/>
    <x v="2"/>
    <s v="Staple magnet"/>
    <n v="18.760000000000002"/>
    <n v="2"/>
    <n v="0"/>
    <n v="5.2527999999999997"/>
  </r>
  <r>
    <s v="CA-2017-113278"/>
    <s v="14/01/2017"/>
    <x v="22"/>
    <s v="Hallie Redmond"/>
    <x v="1"/>
    <s v="Richmond"/>
    <s v="Indiana"/>
    <x v="2"/>
    <s v="TEC-AC-10001445"/>
    <x v="2"/>
    <x v="8"/>
    <s v="Imation USB 2.0 Swivel Flash Drive USB flash drive - 4 GB - Pink"/>
    <n v="12.12"/>
    <n v="4"/>
    <n v="0"/>
    <n v="2.5451999999999999"/>
  </r>
  <r>
    <s v="CA-2017-113278"/>
    <s v="14/01/2017"/>
    <x v="22"/>
    <s v="Hallie Redmond"/>
    <x v="1"/>
    <s v="Richmond"/>
    <s v="Indiana"/>
    <x v="2"/>
    <s v="OFF-PA-10004156"/>
    <x v="1"/>
    <x v="9"/>
    <s v="Xerox 188"/>
    <n v="11.34"/>
    <n v="1"/>
    <n v="0"/>
    <n v="5.5566000000000004"/>
  </r>
  <r>
    <s v="CA-2017-113278"/>
    <s v="14/01/2017"/>
    <x v="22"/>
    <s v="Hallie Redmond"/>
    <x v="1"/>
    <s v="Richmond"/>
    <s v="Indiana"/>
    <x v="2"/>
    <s v="TEC-AC-10004469"/>
    <x v="2"/>
    <x v="8"/>
    <s v="Microsoft Sculpt Comfort Mouse"/>
    <n v="159.80000000000001"/>
    <n v="4"/>
    <n v="0"/>
    <n v="70.311999999999998"/>
  </r>
  <r>
    <s v="CA-2017-113278"/>
    <s v="14/01/2017"/>
    <x v="22"/>
    <s v="Hallie Redmond"/>
    <x v="1"/>
    <s v="Richmond"/>
    <s v="Indiana"/>
    <x v="2"/>
    <s v="FUR-FU-10001037"/>
    <x v="0"/>
    <x v="0"/>
    <s v="DAX Charcoal/Nickel-Tone Document Frame, 5 x 7"/>
    <n v="18.96"/>
    <n v="2"/>
    <n v="0"/>
    <n v="8.532"/>
  </r>
  <r>
    <s v="CA-2017-167752"/>
    <s v="15/01/2017"/>
    <x v="23"/>
    <s v="Robert Waldorf"/>
    <x v="0"/>
    <s v="Philadelphia"/>
    <s v="Pennsylvania"/>
    <x v="0"/>
    <s v="OFF-AP-10000159"/>
    <x v="1"/>
    <x v="5"/>
    <s v="Belkin F9M820V08 8 Outlet Surge"/>
    <n v="34.384"/>
    <n v="1"/>
    <n v="0.2"/>
    <n v="3.8681999999999999"/>
  </r>
  <r>
    <s v="CA-2017-167752"/>
    <s v="15/01/2017"/>
    <x v="23"/>
    <s v="Robert Waldorf"/>
    <x v="0"/>
    <s v="Philadelphia"/>
    <s v="Pennsylvania"/>
    <x v="0"/>
    <s v="OFF-AP-10002945"/>
    <x v="1"/>
    <x v="5"/>
    <s v="Honeywell Enviracaire Portable HEPA Air Cleaner for 17' x 22' Room"/>
    <n v="1924.16"/>
    <n v="8"/>
    <n v="0.2"/>
    <n v="312.67599999999999"/>
  </r>
  <r>
    <s v="CA-2017-152961"/>
    <s v="15/01/2017"/>
    <x v="24"/>
    <s v="Sanjit Chand"/>
    <x v="0"/>
    <s v="Quincy"/>
    <s v="Massachusetts"/>
    <x v="0"/>
    <s v="OFF-PA-10004675"/>
    <x v="1"/>
    <x v="9"/>
    <s v="Telephone Message Books with Fax/Mobile Section, 5 1/2&quot; x 3 3/16&quot;"/>
    <n v="12.7"/>
    <n v="2"/>
    <n v="0"/>
    <n v="5.8419999999999996"/>
  </r>
  <r>
    <s v="CA-2017-160934"/>
    <s v="15/01/2017"/>
    <x v="25"/>
    <s v="Tonja Turnell"/>
    <x v="1"/>
    <s v="Los Angeles"/>
    <s v="California"/>
    <x v="1"/>
    <s v="OFF-AR-10003504"/>
    <x v="1"/>
    <x v="4"/>
    <s v="Newell 347"/>
    <n v="21.4"/>
    <n v="5"/>
    <n v="0"/>
    <n v="6.2060000000000004"/>
  </r>
  <r>
    <s v="US-2017-104661"/>
    <s v="15/01/2017"/>
    <x v="26"/>
    <s v="Tim Brockman"/>
    <x v="0"/>
    <s v="Austin"/>
    <s v="Texas"/>
    <x v="2"/>
    <s v="OFF-BI-10001597"/>
    <x v="1"/>
    <x v="1"/>
    <s v="Wilson Jones Ledger-Size, Piano-Hinge Binder, 2&quot;, Blue"/>
    <n v="32.783999999999999"/>
    <n v="4"/>
    <n v="0.8"/>
    <n v="-52.4544"/>
  </r>
  <r>
    <s v="US-2017-104661"/>
    <s v="15/01/2017"/>
    <x v="26"/>
    <s v="Tim Brockman"/>
    <x v="0"/>
    <s v="Austin"/>
    <s v="Texas"/>
    <x v="2"/>
    <s v="TEC-AC-10003628"/>
    <x v="2"/>
    <x v="8"/>
    <s v="Logitech 910-002974 M325 Wireless Mouse for Web Scrolling"/>
    <n v="47.984000000000002"/>
    <n v="2"/>
    <n v="0.2"/>
    <n v="14.395200000000001"/>
  </r>
  <r>
    <s v="US-2017-104661"/>
    <s v="15/01/2017"/>
    <x v="26"/>
    <s v="Tim Brockman"/>
    <x v="0"/>
    <s v="Austin"/>
    <s v="Texas"/>
    <x v="2"/>
    <s v="TEC-AC-10002331"/>
    <x v="2"/>
    <x v="8"/>
    <s v="Maxell 74 Minute CDR, 10/Pack"/>
    <n v="62.591999999999999"/>
    <n v="8"/>
    <n v="0.2"/>
    <n v="13.300800000000001"/>
  </r>
  <r>
    <s v="US-2017-104661"/>
    <s v="15/01/2017"/>
    <x v="26"/>
    <s v="Tim Brockman"/>
    <x v="0"/>
    <s v="Austin"/>
    <s v="Texas"/>
    <x v="2"/>
    <s v="OFF-BI-10001098"/>
    <x v="1"/>
    <x v="1"/>
    <s v="Acco D-Ring Binder w/DublLock"/>
    <n v="4.2759999999999998"/>
    <n v="1"/>
    <n v="0.8"/>
    <n v="-6.6277999999999997"/>
  </r>
  <r>
    <s v="CA-2017-125913"/>
    <s v="16/01/2017"/>
    <x v="27"/>
    <s v="Jack O'Briant"/>
    <x v="2"/>
    <s v="Los Angeles"/>
    <s v="California"/>
    <x v="1"/>
    <s v="FUR-FU-10001487"/>
    <x v="0"/>
    <x v="0"/>
    <s v="Eldon Expressions Wood and Plastic Desk Accessories, Cherry Wood"/>
    <n v="27.92"/>
    <n v="4"/>
    <n v="0"/>
    <n v="8.0968"/>
  </r>
  <r>
    <s v="CA-2017-125913"/>
    <s v="16/01/2017"/>
    <x v="27"/>
    <s v="Jack O'Briant"/>
    <x v="2"/>
    <s v="Los Angeles"/>
    <s v="California"/>
    <x v="1"/>
    <s v="FUR-TA-10001520"/>
    <x v="0"/>
    <x v="7"/>
    <s v="Lesro Sheffield Collection Coffee Table, End Table, Center Table, Corner Table"/>
    <n v="399.67200000000003"/>
    <n v="7"/>
    <n v="0.2"/>
    <n v="-14.9877"/>
  </r>
  <r>
    <s v="CA-2017-138289"/>
    <s v="16/01/2017"/>
    <x v="28"/>
    <s v="Andy Reiter"/>
    <x v="0"/>
    <s v="Jackson"/>
    <s v="Michigan"/>
    <x v="2"/>
    <s v="OFF-BI-10004995"/>
    <x v="1"/>
    <x v="1"/>
    <s v="GBC DocuBind P400 Electric Binding System"/>
    <n v="5443.96"/>
    <n v="4"/>
    <n v="0"/>
    <n v="2504.2215999999999"/>
  </r>
  <r>
    <s v="CA-2017-138289"/>
    <s v="16/01/2017"/>
    <x v="28"/>
    <s v="Andy Reiter"/>
    <x v="0"/>
    <s v="Jackson"/>
    <s v="Michigan"/>
    <x v="2"/>
    <s v="FUR-CH-10004626"/>
    <x v="0"/>
    <x v="3"/>
    <s v="Office Star Flex Back Scooter Chair with Aluminum Finish Frame"/>
    <n v="302.67"/>
    <n v="3"/>
    <n v="0"/>
    <n v="72.640799999999999"/>
  </r>
  <r>
    <s v="CA-2017-138289"/>
    <s v="16/01/2017"/>
    <x v="28"/>
    <s v="Andy Reiter"/>
    <x v="0"/>
    <s v="Jackson"/>
    <s v="Michigan"/>
    <x v="2"/>
    <s v="OFF-PA-10001260"/>
    <x v="1"/>
    <x v="9"/>
    <s v="TOPS Money Receipt Book, Consecutively Numbered in Red,"/>
    <n v="56.07"/>
    <n v="7"/>
    <n v="0"/>
    <n v="25.2315"/>
  </r>
  <r>
    <s v="CA-2017-154718"/>
    <s v="19/01/2017"/>
    <x v="29"/>
    <s v="Dan Lawera"/>
    <x v="0"/>
    <s v="Keller"/>
    <s v="Texas"/>
    <x v="2"/>
    <s v="OFF-LA-10003714"/>
    <x v="1"/>
    <x v="15"/>
    <s v="Avery 510"/>
    <n v="6"/>
    <n v="2"/>
    <n v="0.2"/>
    <n v="2.1"/>
  </r>
  <r>
    <s v="CA-2017-153045"/>
    <s v="19/01/2017"/>
    <x v="30"/>
    <s v="Neola Schneider"/>
    <x v="0"/>
    <s v="Philadelphia"/>
    <s v="Pennsylvania"/>
    <x v="0"/>
    <s v="TEC-PH-10001817"/>
    <x v="2"/>
    <x v="14"/>
    <s v="Wilson Electronics DB Pro Signal Booster"/>
    <n v="429.6"/>
    <n v="2"/>
    <n v="0.4"/>
    <n v="-93.08"/>
  </r>
  <r>
    <s v="CA-2017-153045"/>
    <s v="19/01/2017"/>
    <x v="30"/>
    <s v="Neola Schneider"/>
    <x v="0"/>
    <s v="Philadelphia"/>
    <s v="Pennsylvania"/>
    <x v="0"/>
    <s v="FUR-FU-10002759"/>
    <x v="0"/>
    <x v="0"/>
    <s v="12-1/2 Diameter Round Wall Clock"/>
    <n v="31.968"/>
    <n v="2"/>
    <n v="0.2"/>
    <n v="6.3936000000000002"/>
  </r>
  <r>
    <s v="CA-2017-153045"/>
    <s v="19/01/2017"/>
    <x v="30"/>
    <s v="Neola Schneider"/>
    <x v="0"/>
    <s v="Philadelphia"/>
    <s v="Pennsylvania"/>
    <x v="0"/>
    <s v="FUR-CH-10000309"/>
    <x v="0"/>
    <x v="3"/>
    <s v="Global Comet Stacking Arm Chair"/>
    <n v="887.27099999999996"/>
    <n v="3"/>
    <n v="0.3"/>
    <n v="-63.3765"/>
  </r>
  <r>
    <s v="CA-2017-153045"/>
    <s v="19/01/2017"/>
    <x v="30"/>
    <s v="Neola Schneider"/>
    <x v="0"/>
    <s v="Philadelphia"/>
    <s v="Pennsylvania"/>
    <x v="0"/>
    <s v="OFF-PA-10003673"/>
    <x v="1"/>
    <x v="9"/>
    <s v="Strathmore Photo Mount Cards"/>
    <n v="21.696000000000002"/>
    <n v="4"/>
    <n v="0.2"/>
    <n v="7.0511999999999997"/>
  </r>
  <r>
    <s v="US-2017-127292"/>
    <s v="19/01/2017"/>
    <x v="31"/>
    <s v="Raymond Messe"/>
    <x v="0"/>
    <s v="Burlington"/>
    <s v="Vermont"/>
    <x v="0"/>
    <s v="OFF-PA-10000157"/>
    <x v="1"/>
    <x v="9"/>
    <s v="Xerox 191"/>
    <n v="79.92"/>
    <n v="4"/>
    <n v="0"/>
    <n v="37.562399999999997"/>
  </r>
  <r>
    <s v="US-2017-127292"/>
    <s v="19/01/2017"/>
    <x v="31"/>
    <s v="Raymond Messe"/>
    <x v="0"/>
    <s v="Burlington"/>
    <s v="Vermont"/>
    <x v="0"/>
    <s v="OFF-PA-10001970"/>
    <x v="1"/>
    <x v="9"/>
    <s v="Xerox 1881"/>
    <n v="12.28"/>
    <n v="1"/>
    <n v="0"/>
    <n v="5.7716000000000003"/>
  </r>
  <r>
    <s v="US-2017-127292"/>
    <s v="19/01/2017"/>
    <x v="31"/>
    <s v="Raymond Messe"/>
    <x v="0"/>
    <s v="Burlington"/>
    <s v="Vermont"/>
    <x v="0"/>
    <s v="OFF-AP-10000828"/>
    <x v="1"/>
    <x v="5"/>
    <s v="Avanti 4.4 Cu. Ft. Refrigerator"/>
    <n v="542.94000000000005"/>
    <n v="3"/>
    <n v="0"/>
    <n v="152.0232"/>
  </r>
  <r>
    <s v="US-2017-127292"/>
    <s v="19/01/2017"/>
    <x v="31"/>
    <s v="Raymond Messe"/>
    <x v="0"/>
    <s v="Burlington"/>
    <s v="Vermont"/>
    <x v="0"/>
    <s v="OFF-EN-10001509"/>
    <x v="1"/>
    <x v="12"/>
    <s v="Poly String Tie Envelopes"/>
    <n v="2.04"/>
    <n v="1"/>
    <n v="0"/>
    <n v="0.95879999999999999"/>
  </r>
  <r>
    <s v="CA-2017-157252"/>
    <s v="20/01/2017"/>
    <x v="32"/>
    <s v="Cynthia Voltz"/>
    <x v="2"/>
    <s v="New York City"/>
    <s v="New York"/>
    <x v="0"/>
    <s v="FUR-CH-10003396"/>
    <x v="0"/>
    <x v="3"/>
    <s v="Global Deluxe Steno Chair"/>
    <n v="207.846"/>
    <n v="3"/>
    <n v="0.1"/>
    <n v="2.3094000000000001"/>
  </r>
  <r>
    <s v="CA-2017-161809"/>
    <s v="20/01/2017"/>
    <x v="33"/>
    <s v="Thea Hendricks"/>
    <x v="0"/>
    <s v="Los Angeles"/>
    <s v="California"/>
    <x v="1"/>
    <s v="TEC-PH-10004922"/>
    <x v="2"/>
    <x v="14"/>
    <s v="RCA Visys Integrated PBX 8-Line Router"/>
    <n v="160.77600000000001"/>
    <n v="3"/>
    <n v="0.2"/>
    <n v="10.048500000000001"/>
  </r>
  <r>
    <s v="CA-2017-144589"/>
    <s v="20/01/2017"/>
    <x v="34"/>
    <s v="Tamara Manning"/>
    <x v="0"/>
    <s v="San Francisco"/>
    <s v="California"/>
    <x v="1"/>
    <s v="OFF-AR-10003631"/>
    <x v="1"/>
    <x v="4"/>
    <s v="Staples in misc. colors"/>
    <n v="24.2"/>
    <n v="5"/>
    <n v="0"/>
    <n v="7.9859999999999998"/>
  </r>
  <r>
    <s v="CA-2017-144589"/>
    <s v="20/01/2017"/>
    <x v="34"/>
    <s v="Tamara Manning"/>
    <x v="0"/>
    <s v="San Francisco"/>
    <s v="California"/>
    <x v="1"/>
    <s v="TEC-PH-10003072"/>
    <x v="2"/>
    <x v="14"/>
    <s v="Panasonic KX-TG9541B DECT 6.0 Digital 2-Line Expandable Cordless Phone With Digital Answering System"/>
    <n v="359.976"/>
    <n v="3"/>
    <n v="0.2"/>
    <n v="130.4913"/>
  </r>
  <r>
    <s v="US-2017-120649"/>
    <s v="20/01/2017"/>
    <x v="35"/>
    <s v="Jeremy Farry"/>
    <x v="0"/>
    <s v="Waterbury"/>
    <s v="Connecticut"/>
    <x v="0"/>
    <s v="OFF-AR-10001545"/>
    <x v="1"/>
    <x v="4"/>
    <s v="Newell 326"/>
    <n v="3.52"/>
    <n v="2"/>
    <n v="0"/>
    <n v="1.0207999999999999"/>
  </r>
  <r>
    <s v="CA-2017-152079"/>
    <s v="20/01/2017"/>
    <x v="36"/>
    <s v="Maris LaWare"/>
    <x v="0"/>
    <s v="Chicago"/>
    <s v="Illinois"/>
    <x v="2"/>
    <s v="OFF-LA-10001613"/>
    <x v="1"/>
    <x v="15"/>
    <s v="Avery File Folder Labels"/>
    <n v="11.52"/>
    <n v="5"/>
    <n v="0.2"/>
    <n v="4.1760000000000002"/>
  </r>
  <r>
    <s v="CA-2017-131954"/>
    <s v="21/01/2017"/>
    <x v="37"/>
    <s v="Darrin Sayre"/>
    <x v="1"/>
    <s v="Seattle"/>
    <s v="Washington"/>
    <x v="1"/>
    <s v="OFF-ST-10000736"/>
    <x v="1"/>
    <x v="2"/>
    <s v="Carina Double Wide Media Storage Towers in Natural &amp; Black"/>
    <n v="242.94"/>
    <n v="3"/>
    <n v="0"/>
    <n v="9.7175999999999991"/>
  </r>
  <r>
    <s v="CA-2017-131954"/>
    <s v="21/01/2017"/>
    <x v="37"/>
    <s v="Darrin Sayre"/>
    <x v="1"/>
    <s v="Seattle"/>
    <s v="Washington"/>
    <x v="1"/>
    <s v="TEC-AC-10003610"/>
    <x v="2"/>
    <x v="8"/>
    <s v="Logitech Illuminated - Keyboard"/>
    <n v="179.97"/>
    <n v="3"/>
    <n v="0"/>
    <n v="86.385599999999997"/>
  </r>
  <r>
    <s v="CA-2017-131954"/>
    <s v="21/01/2017"/>
    <x v="37"/>
    <s v="Darrin Sayre"/>
    <x v="1"/>
    <s v="Seattle"/>
    <s v="Washington"/>
    <x v="1"/>
    <s v="OFF-BI-10003982"/>
    <x v="1"/>
    <x v="1"/>
    <s v="Wilson Jones Century Plastic Molded Ring Binders"/>
    <n v="99.695999999999998"/>
    <n v="6"/>
    <n v="0.2"/>
    <n v="33.647399999999998"/>
  </r>
  <r>
    <s v="CA-2017-131954"/>
    <s v="21/01/2017"/>
    <x v="37"/>
    <s v="Darrin Sayre"/>
    <x v="1"/>
    <s v="Seattle"/>
    <s v="Washington"/>
    <x v="1"/>
    <s v="OFF-BI-10003291"/>
    <x v="1"/>
    <x v="1"/>
    <s v="Wilson Jones Leather-Like Binders with DublLock Round Rings"/>
    <n v="27.936"/>
    <n v="4"/>
    <n v="0.2"/>
    <n v="9.4283999999999999"/>
  </r>
  <r>
    <s v="CA-2017-131954"/>
    <s v="21/01/2017"/>
    <x v="37"/>
    <s v="Darrin Sayre"/>
    <x v="1"/>
    <s v="Seattle"/>
    <s v="Washington"/>
    <x v="1"/>
    <s v="FUR-BO-10001619"/>
    <x v="0"/>
    <x v="13"/>
    <s v="O'Sullivan Cherrywood Estates Traditional Bookcase"/>
    <n v="84.98"/>
    <n v="1"/>
    <n v="0"/>
    <n v="18.695599999999999"/>
  </r>
  <r>
    <s v="CA-2017-131954"/>
    <s v="21/01/2017"/>
    <x v="37"/>
    <s v="Darrin Sayre"/>
    <x v="1"/>
    <s v="Seattle"/>
    <s v="Washington"/>
    <x v="1"/>
    <s v="OFF-BI-10000138"/>
    <x v="1"/>
    <x v="1"/>
    <s v="Acco Translucent Poly Ring Binders"/>
    <n v="18.72"/>
    <n v="5"/>
    <n v="0.2"/>
    <n v="6.5519999999999996"/>
  </r>
  <r>
    <s v="CA-2017-160423"/>
    <s v="21/01/2017"/>
    <x v="38"/>
    <s v="Penelope Sewall"/>
    <x v="1"/>
    <s v="Charlotte"/>
    <s v="North Carolina"/>
    <x v="3"/>
    <s v="OFF-ST-10004340"/>
    <x v="1"/>
    <x v="2"/>
    <s v="Fellowes Mobile File Cart, Black"/>
    <n v="348.20800000000003"/>
    <n v="7"/>
    <n v="0.2"/>
    <n v="30.4682"/>
  </r>
  <r>
    <s v="CA-2017-160423"/>
    <s v="21/01/2017"/>
    <x v="38"/>
    <s v="Penelope Sewall"/>
    <x v="1"/>
    <s v="Charlotte"/>
    <s v="North Carolina"/>
    <x v="3"/>
    <s v="OFF-BI-10004001"/>
    <x v="1"/>
    <x v="1"/>
    <s v="GBC Recycled VeloBinder Covers"/>
    <n v="35.783999999999999"/>
    <n v="7"/>
    <n v="0.7"/>
    <n v="-28.627199999999998"/>
  </r>
  <r>
    <s v="CA-2017-127026"/>
    <s v="21/01/2017"/>
    <x v="39"/>
    <s v="Mick Hernandez"/>
    <x v="1"/>
    <s v="Jackson"/>
    <s v="Michigan"/>
    <x v="2"/>
    <s v="OFF-BI-10000546"/>
    <x v="1"/>
    <x v="1"/>
    <s v="Avery Durable Binders"/>
    <n v="14.4"/>
    <n v="5"/>
    <n v="0"/>
    <n v="7.056"/>
  </r>
  <r>
    <s v="CA-2017-127026"/>
    <s v="21/01/2017"/>
    <x v="39"/>
    <s v="Mick Hernandez"/>
    <x v="1"/>
    <s v="Jackson"/>
    <s v="Michigan"/>
    <x v="2"/>
    <s v="TEC-AC-10002049"/>
    <x v="2"/>
    <x v="8"/>
    <s v="Logitech G19 Programmable Gaming Keyboard"/>
    <n v="619.95000000000005"/>
    <n v="5"/>
    <n v="0"/>
    <n v="111.59099999999999"/>
  </r>
  <r>
    <s v="CA-2017-127026"/>
    <s v="21/01/2017"/>
    <x v="39"/>
    <s v="Mick Hernandez"/>
    <x v="1"/>
    <s v="Jackson"/>
    <s v="Michigan"/>
    <x v="2"/>
    <s v="OFF-BI-10001196"/>
    <x v="1"/>
    <x v="1"/>
    <s v="Avery Flip-Chart Easel Binder, Black"/>
    <n v="89.52"/>
    <n v="4"/>
    <n v="0"/>
    <n v="42.074399999999997"/>
  </r>
  <r>
    <s v="CA-2017-127026"/>
    <s v="21/01/2017"/>
    <x v="39"/>
    <s v="Mick Hernandez"/>
    <x v="1"/>
    <s v="Jackson"/>
    <s v="Michigan"/>
    <x v="2"/>
    <s v="TEC-MA-10002981"/>
    <x v="2"/>
    <x v="6"/>
    <s v="I.R.I.S IRISCard Anywhere 5 Card Scanner"/>
    <n v="350.97300000000001"/>
    <n v="3"/>
    <n v="0.1"/>
    <n v="152.0883"/>
  </r>
  <r>
    <s v="CA-2017-127026"/>
    <s v="21/01/2017"/>
    <x v="39"/>
    <s v="Mick Hernandez"/>
    <x v="1"/>
    <s v="Jackson"/>
    <s v="Michigan"/>
    <x v="2"/>
    <s v="TEC-PH-10003601"/>
    <x v="2"/>
    <x v="14"/>
    <s v="Ativa D5772 2-Line 5.8GHz Digital Expandable Corded/Cordless Phone System with Answering &amp; Caller ID/Call Waiting, Black/Silver"/>
    <n v="164.99"/>
    <n v="1"/>
    <n v="0"/>
    <n v="49.497"/>
  </r>
  <r>
    <s v="CA-2017-141782"/>
    <s v="21/01/2017"/>
    <x v="40"/>
    <s v="Bobby Elias"/>
    <x v="0"/>
    <s v="Aurora"/>
    <s v="Illinois"/>
    <x v="2"/>
    <s v="OFF-EN-10002230"/>
    <x v="1"/>
    <x v="12"/>
    <s v="Airmail Envelopes"/>
    <n v="268.57600000000002"/>
    <n v="4"/>
    <n v="0.2"/>
    <n v="90.644400000000005"/>
  </r>
  <r>
    <s v="CA-2017-127432"/>
    <s v="22/01/2017"/>
    <x v="41"/>
    <s v="Alan Dominguez"/>
    <x v="1"/>
    <s v="Great Falls"/>
    <s v="Montana"/>
    <x v="1"/>
    <s v="TEC-CO-10003236"/>
    <x v="2"/>
    <x v="16"/>
    <s v="Canon Image Class D660 Copier"/>
    <n v="2999.95"/>
    <n v="5"/>
    <n v="0"/>
    <n v="1379.9770000000001"/>
  </r>
  <r>
    <s v="CA-2017-127432"/>
    <s v="22/01/2017"/>
    <x v="41"/>
    <s v="Alan Dominguez"/>
    <x v="1"/>
    <s v="Great Falls"/>
    <s v="Montana"/>
    <x v="1"/>
    <s v="OFF-ST-10004507"/>
    <x v="1"/>
    <x v="2"/>
    <s v="Advantus Rolling Storage Box"/>
    <n v="51.45"/>
    <n v="3"/>
    <n v="0"/>
    <n v="13.891500000000001"/>
  </r>
  <r>
    <s v="CA-2017-127432"/>
    <s v="22/01/2017"/>
    <x v="41"/>
    <s v="Alan Dominguez"/>
    <x v="1"/>
    <s v="Great Falls"/>
    <s v="Montana"/>
    <x v="1"/>
    <s v="OFF-PA-10001667"/>
    <x v="1"/>
    <x v="9"/>
    <s v="Great White Multi-Use Recycled Paper (20Lb. and 84 Bright)"/>
    <n v="11.96"/>
    <n v="2"/>
    <n v="0"/>
    <n v="5.3819999999999997"/>
  </r>
  <r>
    <s v="CA-2017-127432"/>
    <s v="22/01/2017"/>
    <x v="41"/>
    <s v="Alan Dominguez"/>
    <x v="1"/>
    <s v="Great Falls"/>
    <s v="Montana"/>
    <x v="1"/>
    <s v="OFF-ST-10004459"/>
    <x v="1"/>
    <x v="2"/>
    <s v="Tennsco Single-Tier Lockers"/>
    <n v="1126.02"/>
    <n v="3"/>
    <n v="0"/>
    <n v="56.301000000000002"/>
  </r>
  <r>
    <s v="CA-2017-152499"/>
    <s v="22/01/2017"/>
    <x v="42"/>
    <s v="Edward Hooks"/>
    <x v="2"/>
    <s v="Chicago"/>
    <s v="Illinois"/>
    <x v="2"/>
    <s v="OFF-FA-10002975"/>
    <x v="1"/>
    <x v="11"/>
    <s v="Staples"/>
    <n v="15.12"/>
    <n v="5"/>
    <n v="0.2"/>
    <n v="4.9139999999999997"/>
  </r>
  <r>
    <s v="CA-2017-152499"/>
    <s v="22/01/2017"/>
    <x v="42"/>
    <s v="Edward Hooks"/>
    <x v="2"/>
    <s v="Chicago"/>
    <s v="Illinois"/>
    <x v="2"/>
    <s v="OFF-AR-10003481"/>
    <x v="1"/>
    <x v="4"/>
    <s v="Newell 348"/>
    <n v="7.8719999999999999"/>
    <n v="3"/>
    <n v="0.2"/>
    <n v="0.88560000000000005"/>
  </r>
  <r>
    <s v="CA-2017-145142"/>
    <s v="23/01/2017"/>
    <x v="43"/>
    <s v="Matt Connell"/>
    <x v="2"/>
    <s v="Detroit"/>
    <s v="Michigan"/>
    <x v="2"/>
    <s v="FUR-TA-10001857"/>
    <x v="0"/>
    <x v="7"/>
    <s v="Balt Solid Wood Rectangular Table"/>
    <n v="210.98"/>
    <n v="2"/>
    <n v="0"/>
    <n v="21.097999999999999"/>
  </r>
  <r>
    <s v="CA-2017-139080"/>
    <s v="23/01/2017"/>
    <x v="44"/>
    <s v="Chris Selesnick"/>
    <x v="2"/>
    <s v="Seattle"/>
    <s v="Washington"/>
    <x v="1"/>
    <s v="OFF-BI-10001757"/>
    <x v="1"/>
    <x v="1"/>
    <s v="Pressboard Hanging Data Binders for Unburst Sheets"/>
    <n v="19.68"/>
    <n v="5"/>
    <n v="0.2"/>
    <n v="6.8879999999999999"/>
  </r>
  <r>
    <s v="CA-2017-139080"/>
    <s v="23/01/2017"/>
    <x v="44"/>
    <s v="Chris Selesnick"/>
    <x v="2"/>
    <s v="Seattle"/>
    <s v="Washington"/>
    <x v="1"/>
    <s v="OFF-PA-10004621"/>
    <x v="1"/>
    <x v="9"/>
    <s v="Xerox 212"/>
    <n v="25.92"/>
    <n v="4"/>
    <n v="0"/>
    <n v="12.441599999999999"/>
  </r>
  <r>
    <s v="CA-2017-139080"/>
    <s v="23/01/2017"/>
    <x v="44"/>
    <s v="Chris Selesnick"/>
    <x v="2"/>
    <s v="Seattle"/>
    <s v="Washington"/>
    <x v="1"/>
    <s v="OFF-PA-10002262"/>
    <x v="1"/>
    <x v="9"/>
    <s v="Xerox 192"/>
    <n v="6.48"/>
    <n v="1"/>
    <n v="0"/>
    <n v="3.1103999999999998"/>
  </r>
  <r>
    <s v="CA-2017-139080"/>
    <s v="23/01/2017"/>
    <x v="44"/>
    <s v="Chris Selesnick"/>
    <x v="2"/>
    <s v="Seattle"/>
    <s v="Washington"/>
    <x v="1"/>
    <s v="TEC-PH-10004100"/>
    <x v="2"/>
    <x v="14"/>
    <s v="Griffin GC17055 Auxiliary Audio Cable"/>
    <n v="86.352000000000004"/>
    <n v="6"/>
    <n v="0.2"/>
    <n v="8.6351999999999993"/>
  </r>
  <r>
    <s v="CA-2017-161893"/>
    <s v="23/01/2017"/>
    <x v="45"/>
    <s v="Harold Pawlan"/>
    <x v="1"/>
    <s v="Tucson"/>
    <s v="Arizona"/>
    <x v="1"/>
    <s v="TEC-AC-10001874"/>
    <x v="2"/>
    <x v="8"/>
    <s v="Logitech Wireless Anywhere Mouse MX for PC and Mac"/>
    <n v="95.983999999999995"/>
    <n v="2"/>
    <n v="0.2"/>
    <n v="11.997999999999999"/>
  </r>
  <r>
    <s v="CA-2017-161893"/>
    <s v="23/01/2017"/>
    <x v="45"/>
    <s v="Harold Pawlan"/>
    <x v="1"/>
    <s v="Tucson"/>
    <s v="Arizona"/>
    <x v="1"/>
    <s v="OFF-BI-10004506"/>
    <x v="1"/>
    <x v="1"/>
    <s v="Wilson Jones data.warehouse D-Ring Binders with DublLock"/>
    <n v="4.9379999999999997"/>
    <n v="2"/>
    <n v="0.7"/>
    <n v="-3.6212"/>
  </r>
  <r>
    <s v="CA-2017-119669"/>
    <s v="24/01/2017"/>
    <x v="46"/>
    <s v="Theone Pippenger"/>
    <x v="0"/>
    <s v="Smyrna"/>
    <s v="Georgia"/>
    <x v="3"/>
    <s v="OFF-FA-10000053"/>
    <x v="1"/>
    <x v="11"/>
    <s v="Revere Boxed Rubber Bands by Revere"/>
    <n v="5.67"/>
    <n v="3"/>
    <n v="0"/>
    <n v="0.1134"/>
  </r>
  <r>
    <s v="CA-2017-104619"/>
    <s v="24/01/2017"/>
    <x v="47"/>
    <s v="Keith Dawkins"/>
    <x v="2"/>
    <s v="San Jose"/>
    <s v="California"/>
    <x v="1"/>
    <s v="OFF-AP-10001492"/>
    <x v="1"/>
    <x v="5"/>
    <s v="Acco Six-Outlet Power Strip, 4' Cord Length"/>
    <n v="25.86"/>
    <n v="3"/>
    <n v="0"/>
    <n v="6.7236000000000002"/>
  </r>
  <r>
    <s v="CA-2017-104619"/>
    <s v="24/01/2017"/>
    <x v="47"/>
    <s v="Keith Dawkins"/>
    <x v="2"/>
    <s v="San Jose"/>
    <s v="California"/>
    <x v="1"/>
    <s v="OFF-BI-10004318"/>
    <x v="1"/>
    <x v="1"/>
    <s v="Ibico EB-19 Dual Function Manual Binding System"/>
    <n v="276.78399999999999"/>
    <n v="2"/>
    <n v="0.2"/>
    <n v="89.954800000000006"/>
  </r>
  <r>
    <s v="CA-2017-104619"/>
    <s v="24/01/2017"/>
    <x v="47"/>
    <s v="Keith Dawkins"/>
    <x v="2"/>
    <s v="San Jose"/>
    <s v="California"/>
    <x v="1"/>
    <s v="TEC-PH-10000193"/>
    <x v="2"/>
    <x v="14"/>
    <s v="Jensen SMPS-640 - speaker phone"/>
    <n v="110.352"/>
    <n v="3"/>
    <n v="0.2"/>
    <n v="8.2764000000000006"/>
  </r>
  <r>
    <s v="CA-2017-134649"/>
    <s v="26/01/2017"/>
    <x v="48"/>
    <s v="Carol Adams"/>
    <x v="2"/>
    <s v="Hoover"/>
    <s v="Alabama"/>
    <x v="3"/>
    <s v="OFF-AR-10001547"/>
    <x v="1"/>
    <x v="4"/>
    <s v="Newell 311"/>
    <n v="15.47"/>
    <n v="7"/>
    <n v="0"/>
    <n v="4.1768999999999998"/>
  </r>
  <r>
    <s v="CA-2017-134649"/>
    <s v="26/01/2017"/>
    <x v="48"/>
    <s v="Carol Adams"/>
    <x v="2"/>
    <s v="Hoover"/>
    <s v="Alabama"/>
    <x v="3"/>
    <s v="OFF-BI-10001890"/>
    <x v="1"/>
    <x v="1"/>
    <s v="Avery Poly Binder Pockets"/>
    <n v="7.16"/>
    <n v="2"/>
    <n v="0"/>
    <n v="3.4367999999999999"/>
  </r>
  <r>
    <s v="CA-2017-164098"/>
    <s v="26/01/2017"/>
    <x v="49"/>
    <s v="Claire Gute"/>
    <x v="0"/>
    <s v="Houston"/>
    <s v="Texas"/>
    <x v="2"/>
    <s v="OFF-ST-10000615"/>
    <x v="1"/>
    <x v="2"/>
    <s v="SimpliFile Personal File, Black Granite, 15w x 6-15/16d x 11-1/4h"/>
    <n v="18.16"/>
    <n v="2"/>
    <n v="0.2"/>
    <n v="1.8160000000000001"/>
  </r>
  <r>
    <s v="CA-2017-150469"/>
    <s v="26/01/2017"/>
    <x v="50"/>
    <s v="Caroline Jumper"/>
    <x v="0"/>
    <s v="San Francisco"/>
    <s v="California"/>
    <x v="1"/>
    <s v="OFF-FA-10000611"/>
    <x v="1"/>
    <x v="11"/>
    <s v="Binder Clips by OIC"/>
    <n v="11.84"/>
    <n v="8"/>
    <n v="0"/>
    <n v="5.6832000000000003"/>
  </r>
  <r>
    <s v="US-2017-105935"/>
    <s v="26/01/2017"/>
    <x v="51"/>
    <s v="Bradley Drucker"/>
    <x v="0"/>
    <s v="Columbus"/>
    <s v="Georgia"/>
    <x v="3"/>
    <s v="FUR-FU-10002157"/>
    <x v="0"/>
    <x v="0"/>
    <s v="Artistic Insta-Plaque"/>
    <n v="62.72"/>
    <n v="4"/>
    <n v="0"/>
    <n v="24.460799999999999"/>
  </r>
  <r>
    <s v="US-2017-105935"/>
    <s v="26/01/2017"/>
    <x v="51"/>
    <s v="Bradley Drucker"/>
    <x v="0"/>
    <s v="Columbus"/>
    <s v="Georgia"/>
    <x v="3"/>
    <s v="TEC-PH-10001459"/>
    <x v="2"/>
    <x v="14"/>
    <s v="Samsung Galaxy Mega 6.3"/>
    <n v="2939.93"/>
    <n v="7"/>
    <n v="0"/>
    <n v="764.3818"/>
  </r>
  <r>
    <s v="CA-2017-117870"/>
    <s v="27/01/2017"/>
    <x v="52"/>
    <s v="John Huston"/>
    <x v="0"/>
    <s v="Kent"/>
    <s v="Ohio"/>
    <x v="0"/>
    <s v="OFF-AR-10004078"/>
    <x v="1"/>
    <x v="4"/>
    <s v="Newell 312"/>
    <n v="14.016"/>
    <n v="3"/>
    <n v="0.2"/>
    <n v="1.752"/>
  </r>
  <r>
    <s v="CA-2017-117870"/>
    <s v="27/01/2017"/>
    <x v="52"/>
    <s v="John Huston"/>
    <x v="0"/>
    <s v="Kent"/>
    <s v="Ohio"/>
    <x v="0"/>
    <s v="TEC-AC-10000927"/>
    <x v="2"/>
    <x v="8"/>
    <s v="Anker Ultrathin Bluetooth Wireless Keyboard Aluminum Cover with Stand "/>
    <n v="71.975999999999999"/>
    <n v="3"/>
    <n v="0.2"/>
    <n v="-8.9969999999999999"/>
  </r>
  <r>
    <s v="CA-2017-117870"/>
    <s v="27/01/2017"/>
    <x v="52"/>
    <s v="John Huston"/>
    <x v="0"/>
    <s v="Kent"/>
    <s v="Ohio"/>
    <x v="0"/>
    <s v="TEC-PH-10003931"/>
    <x v="2"/>
    <x v="14"/>
    <s v="JBL Micro Wireless Portable Bluetooth Speaker"/>
    <n v="107.982"/>
    <n v="3"/>
    <n v="0.4"/>
    <n v="-26.9955"/>
  </r>
  <r>
    <s v="US-2017-104437"/>
    <s v="27/01/2017"/>
    <x v="53"/>
    <s v="Toby Gnade"/>
    <x v="0"/>
    <s v="New York City"/>
    <s v="New York"/>
    <x v="0"/>
    <s v="TEC-PH-10000193"/>
    <x v="2"/>
    <x v="14"/>
    <s v="Jensen SMPS-640 - speaker phone"/>
    <n v="137.94"/>
    <n v="3"/>
    <n v="0"/>
    <n v="35.864400000000003"/>
  </r>
  <r>
    <s v="CA-2017-115994"/>
    <s v="28/01/2017"/>
    <x v="54"/>
    <s v="Beth Thompson"/>
    <x v="1"/>
    <s v="Costa Mesa"/>
    <s v="California"/>
    <x v="1"/>
    <s v="TEC-AC-10000580"/>
    <x v="2"/>
    <x v="8"/>
    <s v="Logitech G13 Programmable Gameboard with LCD Display"/>
    <n v="239.97"/>
    <n v="3"/>
    <n v="0"/>
    <n v="26.396699999999999"/>
  </r>
  <r>
    <s v="CA-2017-115994"/>
    <s v="28/01/2017"/>
    <x v="54"/>
    <s v="Beth Thompson"/>
    <x v="1"/>
    <s v="Costa Mesa"/>
    <s v="California"/>
    <x v="1"/>
    <s v="FUR-FU-10003976"/>
    <x v="0"/>
    <x v="0"/>
    <s v="DAX Executive Solid Wood Document Frame, Desktop or Hang, Mahogany, 5 x 7"/>
    <n v="37.74"/>
    <n v="3"/>
    <n v="0"/>
    <n v="12.8316"/>
  </r>
  <r>
    <s v="US-2017-147984"/>
    <s v="28/01/2017"/>
    <x v="55"/>
    <s v="Giulietta Baptist"/>
    <x v="0"/>
    <s v="Wichita"/>
    <s v="Kansas"/>
    <x v="2"/>
    <s v="OFF-PA-10000806"/>
    <x v="1"/>
    <x v="9"/>
    <s v="Xerox 1934"/>
    <n v="279.89999999999998"/>
    <n v="5"/>
    <n v="0"/>
    <n v="137.15100000000001"/>
  </r>
  <r>
    <s v="US-2017-166037"/>
    <s v="28/01/2017"/>
    <x v="56"/>
    <s v="Craig Leslie"/>
    <x v="1"/>
    <s v="New York City"/>
    <s v="New York"/>
    <x v="0"/>
    <s v="TEC-AC-10002800"/>
    <x v="2"/>
    <x v="8"/>
    <s v="Plantronics Audio 478 Stereo USB Headset"/>
    <n v="449.91"/>
    <n v="9"/>
    <n v="0"/>
    <n v="157.46850000000001"/>
  </r>
  <r>
    <s v="US-2017-127341"/>
    <s v="29/01/2017"/>
    <x v="57"/>
    <s v="Clytie Kelty"/>
    <x v="0"/>
    <s v="Chicago"/>
    <s v="Illinois"/>
    <x v="2"/>
    <s v="OFF-BI-10001072"/>
    <x v="1"/>
    <x v="1"/>
    <s v="GBC Clear Cover, 8-1/2 x 11, unpunched, 25 covers per pack"/>
    <n v="12.128"/>
    <n v="4"/>
    <n v="0.8"/>
    <n v="-20.617599999999999"/>
  </r>
  <r>
    <s v="CA-2017-139304"/>
    <s v="29/01/2017"/>
    <x v="58"/>
    <s v="Vivek Gonzalez"/>
    <x v="0"/>
    <s v="San Francisco"/>
    <s v="California"/>
    <x v="1"/>
    <s v="OFF-AR-10001216"/>
    <x v="1"/>
    <x v="4"/>
    <s v="Newell 339"/>
    <n v="8.34"/>
    <n v="3"/>
    <n v="0"/>
    <n v="2.1684000000000001"/>
  </r>
  <r>
    <s v="CA-2017-139304"/>
    <s v="29/01/2017"/>
    <x v="58"/>
    <s v="Vivek Gonzalez"/>
    <x v="0"/>
    <s v="San Francisco"/>
    <s v="California"/>
    <x v="1"/>
    <s v="OFF-SU-10001664"/>
    <x v="1"/>
    <x v="10"/>
    <s v="Acme Office Executive Series Stainless Steel Trimmers"/>
    <n v="8.57"/>
    <n v="1"/>
    <n v="0"/>
    <n v="2.2282000000000002"/>
  </r>
  <r>
    <s v="CA-2017-139304"/>
    <s v="29/01/2017"/>
    <x v="58"/>
    <s v="Vivek Gonzalez"/>
    <x v="0"/>
    <s v="San Francisco"/>
    <s v="California"/>
    <x v="1"/>
    <s v="OFF-BI-10002498"/>
    <x v="1"/>
    <x v="1"/>
    <s v="Clear Mylar Reinforcing Strips"/>
    <n v="119.616"/>
    <n v="8"/>
    <n v="0.2"/>
    <n v="40.370399999999997"/>
  </r>
  <r>
    <s v="CA-2017-131653"/>
    <s v="29/01/2017"/>
    <x v="59"/>
    <s v="Rob Dowd"/>
    <x v="0"/>
    <s v="New York City"/>
    <s v="New York"/>
    <x v="0"/>
    <s v="OFF-LA-10001045"/>
    <x v="1"/>
    <x v="15"/>
    <s v="Permanent Self-Adhesive File Folder Labels for Typewriters by Universal"/>
    <n v="5.22"/>
    <n v="2"/>
    <n v="0"/>
    <n v="2.4011999999999998"/>
  </r>
  <r>
    <s v="CA-2017-145338"/>
    <s v="29/01/2017"/>
    <x v="60"/>
    <s v="Bryan Davis"/>
    <x v="0"/>
    <s v="Philadelphia"/>
    <s v="Pennsylvania"/>
    <x v="0"/>
    <s v="OFF-AR-10002053"/>
    <x v="1"/>
    <x v="4"/>
    <s v="Premium Writing Pencils, Soft, #2 by Central Association for the Blind"/>
    <n v="4.7679999999999998"/>
    <n v="2"/>
    <n v="0.2"/>
    <n v="0.4768"/>
  </r>
  <r>
    <s v="CA-2017-160927"/>
    <s v="29/01/2017"/>
    <x v="34"/>
    <s v="Tamara Manning"/>
    <x v="0"/>
    <s v="Marion"/>
    <s v="Iowa"/>
    <x v="2"/>
    <s v="OFF-PA-10003848"/>
    <x v="1"/>
    <x v="9"/>
    <s v="Xerox 1997"/>
    <n v="12.96"/>
    <n v="2"/>
    <n v="0"/>
    <n v="6.2207999999999997"/>
  </r>
  <r>
    <s v="CA-2017-160927"/>
    <s v="29/01/2017"/>
    <x v="34"/>
    <s v="Tamara Manning"/>
    <x v="0"/>
    <s v="Marion"/>
    <s v="Iowa"/>
    <x v="2"/>
    <s v="OFF-PA-10000176"/>
    <x v="1"/>
    <x v="9"/>
    <s v="Xerox 1887"/>
    <n v="94.85"/>
    <n v="5"/>
    <n v="0"/>
    <n v="45.527999999999999"/>
  </r>
  <r>
    <s v="CA-2017-160927"/>
    <s v="29/01/2017"/>
    <x v="34"/>
    <s v="Tamara Manning"/>
    <x v="0"/>
    <s v="Marion"/>
    <s v="Iowa"/>
    <x v="2"/>
    <s v="OFF-ST-10001590"/>
    <x v="1"/>
    <x v="2"/>
    <s v="Tenex Personal Project File with Scoop Front Design, Black"/>
    <n v="13.48"/>
    <n v="1"/>
    <n v="0"/>
    <n v="3.5047999999999999"/>
  </r>
  <r>
    <s v="CA-2017-160927"/>
    <s v="29/01/2017"/>
    <x v="34"/>
    <s v="Tamara Manning"/>
    <x v="0"/>
    <s v="Marion"/>
    <s v="Iowa"/>
    <x v="2"/>
    <s v="FUR-FU-10000010"/>
    <x v="0"/>
    <x v="0"/>
    <s v="DAX Value U-Channel Document Frames, Easel Back"/>
    <n v="14.91"/>
    <n v="3"/>
    <n v="0"/>
    <n v="4.6220999999999997"/>
  </r>
  <r>
    <s v="CA-2017-104220"/>
    <s v="30/01/2017"/>
    <x v="61"/>
    <s v="Benjamin Venier"/>
    <x v="2"/>
    <s v="Des Moines"/>
    <s v="Iowa"/>
    <x v="2"/>
    <s v="OFF-BI-10001036"/>
    <x v="1"/>
    <x v="1"/>
    <s v="Cardinal EasyOpen D-Ring Binders"/>
    <n v="18.28"/>
    <n v="2"/>
    <n v="0"/>
    <n v="9.14"/>
  </r>
  <r>
    <s v="CA-2017-104220"/>
    <s v="30/01/2017"/>
    <x v="61"/>
    <s v="Benjamin Venier"/>
    <x v="2"/>
    <s v="Des Moines"/>
    <s v="Iowa"/>
    <x v="2"/>
    <s v="TEC-PH-10004614"/>
    <x v="2"/>
    <x v="14"/>
    <s v="AT&amp;T 841000 Phone"/>
    <n v="207"/>
    <n v="3"/>
    <n v="0"/>
    <n v="51.75"/>
  </r>
  <r>
    <s v="CA-2017-104220"/>
    <s v="30/01/2017"/>
    <x v="61"/>
    <s v="Benjamin Venier"/>
    <x v="2"/>
    <s v="Des Moines"/>
    <s v="Iowa"/>
    <x v="2"/>
    <s v="OFF-BI-10000301"/>
    <x v="1"/>
    <x v="1"/>
    <s v="GBC Instant Report Kit"/>
    <n v="32.35"/>
    <n v="5"/>
    <n v="0"/>
    <n v="16.175000000000001"/>
  </r>
  <r>
    <s v="CA-2017-104220"/>
    <s v="30/01/2017"/>
    <x v="61"/>
    <s v="Benjamin Venier"/>
    <x v="2"/>
    <s v="Des Moines"/>
    <s v="Iowa"/>
    <x v="2"/>
    <s v="OFF-BI-10003910"/>
    <x v="1"/>
    <x v="1"/>
    <s v="DXL Angle-View Binders with Locking Rings by Samsill"/>
    <n v="7.71"/>
    <n v="1"/>
    <n v="0"/>
    <n v="3.4695"/>
  </r>
  <r>
    <s v="CA-2017-104220"/>
    <s v="30/01/2017"/>
    <x v="61"/>
    <s v="Benjamin Venier"/>
    <x v="2"/>
    <s v="Des Moines"/>
    <s v="Iowa"/>
    <x v="2"/>
    <s v="OFF-AR-10004648"/>
    <x v="1"/>
    <x v="4"/>
    <s v="Boston 19500 Mighty Mite Electric Pencil Sharpener"/>
    <n v="40.299999999999997"/>
    <n v="2"/>
    <n v="0"/>
    <n v="10.881"/>
  </r>
  <r>
    <s v="CA-2017-104220"/>
    <s v="30/01/2017"/>
    <x v="61"/>
    <s v="Benjamin Venier"/>
    <x v="2"/>
    <s v="Des Moines"/>
    <s v="Iowa"/>
    <x v="2"/>
    <s v="FUR-FU-10002597"/>
    <x v="0"/>
    <x v="0"/>
    <s v="C-Line Magnetic Cubicle Keepers, Clear Polypropylene"/>
    <n v="34.58"/>
    <n v="7"/>
    <n v="0"/>
    <n v="14.5236"/>
  </r>
  <r>
    <s v="CA-2017-164329"/>
    <s v="30/01/2017"/>
    <x v="62"/>
    <s v="Michael Moore"/>
    <x v="0"/>
    <s v="San Francisco"/>
    <s v="California"/>
    <x v="1"/>
    <s v="OFF-ST-10001511"/>
    <x v="1"/>
    <x v="2"/>
    <s v="Space Solutions Commercial Steel Shelving"/>
    <n v="129.30000000000001"/>
    <n v="2"/>
    <n v="0"/>
    <n v="6.4649999999999999"/>
  </r>
  <r>
    <s v="CA-2017-112725"/>
    <s v="30/01/2017"/>
    <x v="63"/>
    <s v="Eugene Hildebrand"/>
    <x v="1"/>
    <s v="San Francisco"/>
    <s v="California"/>
    <x v="1"/>
    <s v="OFF-AR-10003759"/>
    <x v="1"/>
    <x v="4"/>
    <s v="Crayola Anti Dust Chalk, 12/Pack"/>
    <n v="12.74"/>
    <n v="7"/>
    <n v="0"/>
    <n v="5.7329999999999997"/>
  </r>
  <r>
    <s v="CA-2017-112725"/>
    <s v="30/01/2017"/>
    <x v="63"/>
    <s v="Eugene Hildebrand"/>
    <x v="1"/>
    <s v="San Francisco"/>
    <s v="California"/>
    <x v="1"/>
    <s v="OFF-AR-10001227"/>
    <x v="1"/>
    <x v="4"/>
    <s v="Newell 338"/>
    <n v="8.82"/>
    <n v="3"/>
    <n v="0"/>
    <n v="2.3814000000000002"/>
  </r>
  <r>
    <s v="CA-2017-112725"/>
    <s v="30/01/2017"/>
    <x v="63"/>
    <s v="Eugene Hildebrand"/>
    <x v="1"/>
    <s v="San Francisco"/>
    <s v="California"/>
    <x v="1"/>
    <s v="FUR-CH-10000863"/>
    <x v="0"/>
    <x v="3"/>
    <s v="Novimex Swivel Fabric Task Chair"/>
    <n v="120.78400000000001"/>
    <n v="1"/>
    <n v="0.2"/>
    <n v="-13.588200000000001"/>
  </r>
  <r>
    <s v="CA-2017-148999"/>
    <s v="30/01/2017"/>
    <x v="64"/>
    <s v="Emily Burns"/>
    <x v="0"/>
    <s v="Miami"/>
    <s v="Florida"/>
    <x v="3"/>
    <s v="FUR-CH-10002044"/>
    <x v="0"/>
    <x v="3"/>
    <s v="Office Star - Contemporary Task Swivel chair with 2-way adjustable arms, Plum"/>
    <n v="419.13600000000002"/>
    <n v="4"/>
    <n v="0.2"/>
    <n v="-68.1096"/>
  </r>
  <r>
    <s v="CA-2017-121790"/>
    <s v="30/01/2017"/>
    <x v="65"/>
    <s v="Liz Preis"/>
    <x v="0"/>
    <s v="Aurora"/>
    <s v="Illinois"/>
    <x v="2"/>
    <s v="FUR-TA-10003469"/>
    <x v="0"/>
    <x v="7"/>
    <s v="Balt Split Level Computer Training Table"/>
    <n v="69.375"/>
    <n v="1"/>
    <n v="0.5"/>
    <n v="-47.174999999999997"/>
  </r>
  <r>
    <s v="CA-2017-121790"/>
    <s v="30/01/2017"/>
    <x v="65"/>
    <s v="Liz Preis"/>
    <x v="0"/>
    <s v="Aurora"/>
    <s v="Illinois"/>
    <x v="2"/>
    <s v="OFF-SU-10004231"/>
    <x v="1"/>
    <x v="10"/>
    <s v="Acme Tagit Stainless Steel Antibacterial Scissors"/>
    <n v="31.68"/>
    <n v="4"/>
    <n v="0.2"/>
    <n v="2.7719999999999998"/>
  </r>
  <r>
    <s v="CA-2017-121790"/>
    <s v="30/01/2017"/>
    <x v="65"/>
    <s v="Liz Preis"/>
    <x v="0"/>
    <s v="Aurora"/>
    <s v="Illinois"/>
    <x v="2"/>
    <s v="TEC-PH-10002584"/>
    <x v="2"/>
    <x v="14"/>
    <s v="Samsung Galaxy S4"/>
    <n v="2003.1679999999999"/>
    <n v="4"/>
    <n v="0.2"/>
    <n v="250.39599999999999"/>
  </r>
  <r>
    <s v="CA-2017-121790"/>
    <s v="30/01/2017"/>
    <x v="65"/>
    <s v="Liz Preis"/>
    <x v="0"/>
    <s v="Aurora"/>
    <s v="Illinois"/>
    <x v="2"/>
    <s v="OFF-AR-10003602"/>
    <x v="1"/>
    <x v="4"/>
    <s v="Quartet Omega Colored Chalk, 12/Pack"/>
    <n v="9.3439999999999994"/>
    <n v="2"/>
    <n v="0.2"/>
    <n v="3.1536"/>
  </r>
  <r>
    <s v="CA-2017-157273"/>
    <s v="30/01/2017"/>
    <x v="66"/>
    <s v="Sam Zeldin"/>
    <x v="1"/>
    <s v="Seattle"/>
    <s v="Washington"/>
    <x v="1"/>
    <s v="TEC-PH-10002275"/>
    <x v="2"/>
    <x v="14"/>
    <s v="Mitel 5320 IP Phone VoIP phone"/>
    <n v="604.76800000000003"/>
    <n v="4"/>
    <n v="0.2"/>
    <n v="60.4767999999999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CF4546-4798-41FB-853A-1C9C2F528A9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and Categories">
  <location ref="A2:B7" firstHeaderRow="1" firstDataRow="1" firstDataCol="1"/>
  <pivotFields count="16">
    <pivotField showAll="0"/>
    <pivotField showAll="0"/>
    <pivotField showAll="0"/>
    <pivotField showAll="0"/>
    <pivotField showAll="0"/>
    <pivotField showAll="0"/>
    <pivotField showAll="0"/>
    <pivotField axis="axisRow" showAll="0">
      <items count="5">
        <item sd="0" x="2"/>
        <item sd="0" x="0"/>
        <item sd="0" x="3"/>
        <item sd="0" x="1"/>
        <item t="default" sd="0"/>
      </items>
    </pivotField>
    <pivotField showAll="0"/>
    <pivotField showAll="0">
      <items count="4">
        <item x="0"/>
        <item x="1"/>
        <item x="2"/>
        <item t="default"/>
      </items>
    </pivotField>
    <pivotField showAll="0"/>
    <pivotField showAll="0"/>
    <pivotField dataField="1" numFmtId="44" showAll="0"/>
    <pivotField showAll="0"/>
    <pivotField numFmtId="10" showAll="0"/>
    <pivotField numFmtId="44" showAll="0"/>
  </pivotFields>
  <rowFields count="1">
    <field x="7"/>
  </rowFields>
  <rowItems count="5">
    <i>
      <x/>
    </i>
    <i>
      <x v="1"/>
    </i>
    <i>
      <x v="2"/>
    </i>
    <i>
      <x v="3"/>
    </i>
    <i t="grand">
      <x/>
    </i>
  </rowItems>
  <colItems count="1">
    <i/>
  </colItems>
  <dataFields count="1">
    <dataField name="Sum of Sales" fld="12" baseField="0" baseItem="0" numFmtId="44"/>
  </dataFields>
  <chartFormats count="5">
    <chartFormat chart="1" format="0"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7" count="1" selected="0">
            <x v="3"/>
          </reference>
        </references>
      </pivotArea>
    </chartFormat>
    <chartFormat chart="1" format="3">
      <pivotArea type="data" outline="0" fieldPosition="0">
        <references count="2">
          <reference field="4294967294" count="1" selected="0">
            <x v="0"/>
          </reference>
          <reference field="7" count="1" selected="0">
            <x v="0"/>
          </reference>
        </references>
      </pivotArea>
    </chartFormat>
    <chartFormat chart="1" format="4">
      <pivotArea type="data" outline="0" fieldPosition="0">
        <references count="2">
          <reference field="4294967294" count="1" selected="0">
            <x v="0"/>
          </reference>
          <reference field="7" count="1" selected="0">
            <x v="1"/>
          </reference>
        </references>
      </pivotArea>
    </chartFormat>
    <chartFormat chart="1" format="5">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146710-4B27-44D0-977A-29DE45477F0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ategory and Sub-Category">
  <location ref="A2:C6" firstHeaderRow="0" firstDataRow="1" firstDataCol="1"/>
  <pivotFields count="16">
    <pivotField showAll="0"/>
    <pivotField showAll="0"/>
    <pivotField showAll="0"/>
    <pivotField showAll="0"/>
    <pivotField showAll="0"/>
    <pivotField showAll="0"/>
    <pivotField showAll="0"/>
    <pivotField showAll="0"/>
    <pivotField showAll="0"/>
    <pivotField axis="axisRow" showAll="0" sortType="descending">
      <items count="4">
        <item sd="0" x="0"/>
        <item sd="0" x="1"/>
        <item sd="0" x="2"/>
        <item t="default" sd="0"/>
      </items>
      <autoSortScope>
        <pivotArea dataOnly="0" outline="0" fieldPosition="0">
          <references count="1">
            <reference field="4294967294" count="1" selected="0">
              <x v="0"/>
            </reference>
          </references>
        </pivotArea>
      </autoSortScope>
    </pivotField>
    <pivotField axis="axisRow" showAll="0">
      <items count="18">
        <item x="8"/>
        <item x="5"/>
        <item x="4"/>
        <item x="1"/>
        <item x="13"/>
        <item x="3"/>
        <item x="16"/>
        <item x="12"/>
        <item x="11"/>
        <item x="0"/>
        <item x="15"/>
        <item x="6"/>
        <item x="9"/>
        <item x="14"/>
        <item x="2"/>
        <item x="10"/>
        <item x="7"/>
        <item t="default"/>
      </items>
    </pivotField>
    <pivotField showAll="0"/>
    <pivotField dataField="1" numFmtId="44" showAll="0"/>
    <pivotField showAll="0"/>
    <pivotField numFmtId="10" showAll="0"/>
    <pivotField dataField="1" numFmtId="44" showAll="0"/>
  </pivotFields>
  <rowFields count="2">
    <field x="9"/>
    <field x="10"/>
  </rowFields>
  <rowItems count="4">
    <i>
      <x v="1"/>
    </i>
    <i>
      <x v="2"/>
    </i>
    <i>
      <x/>
    </i>
    <i t="grand">
      <x/>
    </i>
  </rowItems>
  <colFields count="1">
    <field x="-2"/>
  </colFields>
  <colItems count="2">
    <i>
      <x/>
    </i>
    <i i="1">
      <x v="1"/>
    </i>
  </colItems>
  <dataFields count="2">
    <dataField name="Total Sales          " fld="12" baseField="9" baseItem="1" numFmtId="44"/>
    <dataField name="Total Profit      " fld="15" baseField="9" baseItem="1" numFmtId="44"/>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AA950C-444F-49EE-820D-CC8D28C79B5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Segment" colHeaderCaption="Regions">
  <location ref="A2:P8" firstHeaderRow="1" firstDataRow="3" firstDataCol="1"/>
  <pivotFields count="16">
    <pivotField showAll="0"/>
    <pivotField showAll="0"/>
    <pivotField dataField="1" showAll="0">
      <items count="68">
        <item x="41"/>
        <item x="28"/>
        <item x="4"/>
        <item x="51"/>
        <item x="60"/>
        <item x="40"/>
        <item x="20"/>
        <item x="13"/>
        <item x="54"/>
        <item x="61"/>
        <item x="9"/>
        <item x="48"/>
        <item x="49"/>
        <item x="50"/>
        <item x="57"/>
        <item x="56"/>
        <item x="8"/>
        <item x="17"/>
        <item x="44"/>
        <item x="32"/>
        <item x="14"/>
        <item x="16"/>
        <item x="29"/>
        <item x="7"/>
        <item x="2"/>
        <item x="37"/>
        <item x="64"/>
        <item x="42"/>
        <item x="63"/>
        <item x="6"/>
        <item x="0"/>
        <item x="55"/>
        <item x="45"/>
        <item x="22"/>
        <item x="11"/>
        <item x="35"/>
        <item x="52"/>
        <item x="3"/>
        <item x="27"/>
        <item x="47"/>
        <item x="65"/>
        <item x="15"/>
        <item x="43"/>
        <item x="39"/>
        <item x="36"/>
        <item x="62"/>
        <item x="30"/>
        <item x="38"/>
        <item x="18"/>
        <item x="59"/>
        <item x="31"/>
        <item x="12"/>
        <item x="23"/>
        <item x="24"/>
        <item x="1"/>
        <item x="21"/>
        <item x="66"/>
        <item x="26"/>
        <item x="53"/>
        <item x="33"/>
        <item x="34"/>
        <item x="46"/>
        <item x="19"/>
        <item x="10"/>
        <item x="5"/>
        <item x="25"/>
        <item x="58"/>
        <item t="default"/>
      </items>
    </pivotField>
    <pivotField showAll="0"/>
    <pivotField axis="axisRow" showAll="0">
      <items count="4">
        <item x="0"/>
        <item x="2"/>
        <item x="1"/>
        <item t="default"/>
      </items>
    </pivotField>
    <pivotField showAll="0"/>
    <pivotField showAll="0"/>
    <pivotField axis="axisCol" showAll="0">
      <items count="5">
        <item x="2"/>
        <item x="0"/>
        <item x="3"/>
        <item x="1"/>
        <item t="default"/>
      </items>
    </pivotField>
    <pivotField showAll="0"/>
    <pivotField showAll="0"/>
    <pivotField showAll="0"/>
    <pivotField showAll="0"/>
    <pivotField dataField="1" numFmtId="44" showAll="0"/>
    <pivotField showAll="0"/>
    <pivotField numFmtId="10" showAll="0"/>
    <pivotField numFmtId="44" showAll="0"/>
  </pivotFields>
  <rowFields count="1">
    <field x="4"/>
  </rowFields>
  <rowItems count="4">
    <i>
      <x/>
    </i>
    <i>
      <x v="1"/>
    </i>
    <i>
      <x v="2"/>
    </i>
    <i t="grand">
      <x/>
    </i>
  </rowItems>
  <colFields count="2">
    <field x="7"/>
    <field x="-2"/>
  </colFields>
  <colItems count="15">
    <i>
      <x/>
      <x/>
    </i>
    <i r="1" i="1">
      <x v="1"/>
    </i>
    <i r="1" i="2">
      <x v="2"/>
    </i>
    <i>
      <x v="1"/>
      <x/>
    </i>
    <i r="1" i="1">
      <x v="1"/>
    </i>
    <i r="1" i="2">
      <x v="2"/>
    </i>
    <i>
      <x v="2"/>
      <x/>
    </i>
    <i r="1" i="1">
      <x v="1"/>
    </i>
    <i r="1" i="2">
      <x v="2"/>
    </i>
    <i>
      <x v="3"/>
      <x/>
    </i>
    <i r="1" i="1">
      <x v="1"/>
    </i>
    <i r="1" i="2">
      <x v="2"/>
    </i>
    <i t="grand">
      <x/>
    </i>
    <i t="grand" i="1">
      <x/>
    </i>
    <i t="grand" i="2">
      <x/>
    </i>
  </colItems>
  <dataFields count="3">
    <dataField name="Total Sales" fld="12" baseField="4" baseItem="0" numFmtId="44"/>
    <dataField name="Avg Sale per Order" fld="12" subtotal="average" baseField="4" baseItem="0" numFmtId="44"/>
    <dataField name="Order Count" fld="2" subtotal="count" baseField="4" baseItem="0"/>
  </dataFields>
  <chartFormats count="48">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1"/>
          </reference>
          <reference field="7" count="1" selected="0">
            <x v="0"/>
          </reference>
        </references>
      </pivotArea>
    </chartFormat>
    <chartFormat chart="0" format="2" series="1">
      <pivotArea type="data" outline="0" fieldPosition="0">
        <references count="2">
          <reference field="4294967294" count="1" selected="0">
            <x v="2"/>
          </reference>
          <reference field="7" count="1" selected="0">
            <x v="0"/>
          </reference>
        </references>
      </pivotArea>
    </chartFormat>
    <chartFormat chart="0" format="3" series="1">
      <pivotArea type="data" outline="0" fieldPosition="0">
        <references count="2">
          <reference field="4294967294" count="1" selected="0">
            <x v="0"/>
          </reference>
          <reference field="7" count="1" selected="0">
            <x v="1"/>
          </reference>
        </references>
      </pivotArea>
    </chartFormat>
    <chartFormat chart="0" format="4" series="1">
      <pivotArea type="data" outline="0" fieldPosition="0">
        <references count="2">
          <reference field="4294967294" count="1" selected="0">
            <x v="1"/>
          </reference>
          <reference field="7" count="1" selected="0">
            <x v="1"/>
          </reference>
        </references>
      </pivotArea>
    </chartFormat>
    <chartFormat chart="0" format="5" series="1">
      <pivotArea type="data" outline="0" fieldPosition="0">
        <references count="2">
          <reference field="4294967294" count="1" selected="0">
            <x v="2"/>
          </reference>
          <reference field="7" count="1" selected="0">
            <x v="1"/>
          </reference>
        </references>
      </pivotArea>
    </chartFormat>
    <chartFormat chart="0" format="6" series="1">
      <pivotArea type="data" outline="0" fieldPosition="0">
        <references count="2">
          <reference field="4294967294" count="1" selected="0">
            <x v="0"/>
          </reference>
          <reference field="7" count="1" selected="0">
            <x v="2"/>
          </reference>
        </references>
      </pivotArea>
    </chartFormat>
    <chartFormat chart="0" format="7" series="1">
      <pivotArea type="data" outline="0" fieldPosition="0">
        <references count="2">
          <reference field="4294967294" count="1" selected="0">
            <x v="1"/>
          </reference>
          <reference field="7" count="1" selected="0">
            <x v="2"/>
          </reference>
        </references>
      </pivotArea>
    </chartFormat>
    <chartFormat chart="0" format="8" series="1">
      <pivotArea type="data" outline="0" fieldPosition="0">
        <references count="2">
          <reference field="4294967294" count="1" selected="0">
            <x v="2"/>
          </reference>
          <reference field="7" count="1" selected="0">
            <x v="2"/>
          </reference>
        </references>
      </pivotArea>
    </chartFormat>
    <chartFormat chart="0" format="9" series="1">
      <pivotArea type="data" outline="0" fieldPosition="0">
        <references count="2">
          <reference field="4294967294" count="1" selected="0">
            <x v="0"/>
          </reference>
          <reference field="7" count="1" selected="0">
            <x v="3"/>
          </reference>
        </references>
      </pivotArea>
    </chartFormat>
    <chartFormat chart="0" format="10" series="1">
      <pivotArea type="data" outline="0" fieldPosition="0">
        <references count="2">
          <reference field="4294967294" count="1" selected="0">
            <x v="1"/>
          </reference>
          <reference field="7" count="1" selected="0">
            <x v="3"/>
          </reference>
        </references>
      </pivotArea>
    </chartFormat>
    <chartFormat chart="0" format="11" series="1">
      <pivotArea type="data" outline="0" fieldPosition="0">
        <references count="2">
          <reference field="4294967294" count="1" selected="0">
            <x v="2"/>
          </reference>
          <reference field="7" count="1" selected="0">
            <x v="3"/>
          </reference>
        </references>
      </pivotArea>
    </chartFormat>
    <chartFormat chart="0" format="12">
      <pivotArea type="data" outline="0" fieldPosition="0">
        <references count="3">
          <reference field="4294967294" count="1" selected="0">
            <x v="0"/>
          </reference>
          <reference field="4" count="1" selected="0">
            <x v="0"/>
          </reference>
          <reference field="7" count="1" selected="0">
            <x v="0"/>
          </reference>
        </references>
      </pivotArea>
    </chartFormat>
    <chartFormat chart="0" format="13">
      <pivotArea type="data" outline="0" fieldPosition="0">
        <references count="3">
          <reference field="4294967294" count="1" selected="0">
            <x v="0"/>
          </reference>
          <reference field="4" count="1" selected="0">
            <x v="1"/>
          </reference>
          <reference field="7" count="1" selected="0">
            <x v="0"/>
          </reference>
        </references>
      </pivotArea>
    </chartFormat>
    <chartFormat chart="0" format="14">
      <pivotArea type="data" outline="0" fieldPosition="0">
        <references count="3">
          <reference field="4294967294" count="1" selected="0">
            <x v="0"/>
          </reference>
          <reference field="4" count="1" selected="0">
            <x v="2"/>
          </reference>
          <reference field="7" count="1" selected="0">
            <x v="0"/>
          </reference>
        </references>
      </pivotArea>
    </chartFormat>
    <chartFormat chart="0" format="15">
      <pivotArea type="data" outline="0" fieldPosition="0">
        <references count="3">
          <reference field="4294967294" count="1" selected="0">
            <x v="1"/>
          </reference>
          <reference field="4" count="1" selected="0">
            <x v="0"/>
          </reference>
          <reference field="7" count="1" selected="0">
            <x v="0"/>
          </reference>
        </references>
      </pivotArea>
    </chartFormat>
    <chartFormat chart="0" format="16">
      <pivotArea type="data" outline="0" fieldPosition="0">
        <references count="3">
          <reference field="4294967294" count="1" selected="0">
            <x v="1"/>
          </reference>
          <reference field="4" count="1" selected="0">
            <x v="1"/>
          </reference>
          <reference field="7" count="1" selected="0">
            <x v="0"/>
          </reference>
        </references>
      </pivotArea>
    </chartFormat>
    <chartFormat chart="0" format="17">
      <pivotArea type="data" outline="0" fieldPosition="0">
        <references count="3">
          <reference field="4294967294" count="1" selected="0">
            <x v="1"/>
          </reference>
          <reference field="4" count="1" selected="0">
            <x v="2"/>
          </reference>
          <reference field="7" count="1" selected="0">
            <x v="0"/>
          </reference>
        </references>
      </pivotArea>
    </chartFormat>
    <chartFormat chart="0" format="18">
      <pivotArea type="data" outline="0" fieldPosition="0">
        <references count="3">
          <reference field="4294967294" count="1" selected="0">
            <x v="2"/>
          </reference>
          <reference field="4" count="1" selected="0">
            <x v="0"/>
          </reference>
          <reference field="7" count="1" selected="0">
            <x v="0"/>
          </reference>
        </references>
      </pivotArea>
    </chartFormat>
    <chartFormat chart="0" format="19">
      <pivotArea type="data" outline="0" fieldPosition="0">
        <references count="3">
          <reference field="4294967294" count="1" selected="0">
            <x v="2"/>
          </reference>
          <reference field="4" count="1" selected="0">
            <x v="1"/>
          </reference>
          <reference field="7" count="1" selected="0">
            <x v="0"/>
          </reference>
        </references>
      </pivotArea>
    </chartFormat>
    <chartFormat chart="0" format="20">
      <pivotArea type="data" outline="0" fieldPosition="0">
        <references count="3">
          <reference field="4294967294" count="1" selected="0">
            <x v="2"/>
          </reference>
          <reference field="4" count="1" selected="0">
            <x v="2"/>
          </reference>
          <reference field="7" count="1" selected="0">
            <x v="0"/>
          </reference>
        </references>
      </pivotArea>
    </chartFormat>
    <chartFormat chart="0" format="21">
      <pivotArea type="data" outline="0" fieldPosition="0">
        <references count="3">
          <reference field="4294967294" count="1" selected="0">
            <x v="0"/>
          </reference>
          <reference field="4" count="1" selected="0">
            <x v="0"/>
          </reference>
          <reference field="7" count="1" selected="0">
            <x v="1"/>
          </reference>
        </references>
      </pivotArea>
    </chartFormat>
    <chartFormat chart="0" format="22">
      <pivotArea type="data" outline="0" fieldPosition="0">
        <references count="3">
          <reference field="4294967294" count="1" selected="0">
            <x v="0"/>
          </reference>
          <reference field="4" count="1" selected="0">
            <x v="1"/>
          </reference>
          <reference field="7" count="1" selected="0">
            <x v="1"/>
          </reference>
        </references>
      </pivotArea>
    </chartFormat>
    <chartFormat chart="0" format="23">
      <pivotArea type="data" outline="0" fieldPosition="0">
        <references count="3">
          <reference field="4294967294" count="1" selected="0">
            <x v="0"/>
          </reference>
          <reference field="4" count="1" selected="0">
            <x v="2"/>
          </reference>
          <reference field="7" count="1" selected="0">
            <x v="1"/>
          </reference>
        </references>
      </pivotArea>
    </chartFormat>
    <chartFormat chart="0" format="24">
      <pivotArea type="data" outline="0" fieldPosition="0">
        <references count="3">
          <reference field="4294967294" count="1" selected="0">
            <x v="1"/>
          </reference>
          <reference field="4" count="1" selected="0">
            <x v="0"/>
          </reference>
          <reference field="7" count="1" selected="0">
            <x v="1"/>
          </reference>
        </references>
      </pivotArea>
    </chartFormat>
    <chartFormat chart="0" format="25">
      <pivotArea type="data" outline="0" fieldPosition="0">
        <references count="3">
          <reference field="4294967294" count="1" selected="0">
            <x v="1"/>
          </reference>
          <reference field="4" count="1" selected="0">
            <x v="1"/>
          </reference>
          <reference field="7" count="1" selected="0">
            <x v="1"/>
          </reference>
        </references>
      </pivotArea>
    </chartFormat>
    <chartFormat chart="0" format="26">
      <pivotArea type="data" outline="0" fieldPosition="0">
        <references count="3">
          <reference field="4294967294" count="1" selected="0">
            <x v="1"/>
          </reference>
          <reference field="4" count="1" selected="0">
            <x v="2"/>
          </reference>
          <reference field="7" count="1" selected="0">
            <x v="1"/>
          </reference>
        </references>
      </pivotArea>
    </chartFormat>
    <chartFormat chart="0" format="27">
      <pivotArea type="data" outline="0" fieldPosition="0">
        <references count="3">
          <reference field="4294967294" count="1" selected="0">
            <x v="2"/>
          </reference>
          <reference field="4" count="1" selected="0">
            <x v="0"/>
          </reference>
          <reference field="7" count="1" selected="0">
            <x v="1"/>
          </reference>
        </references>
      </pivotArea>
    </chartFormat>
    <chartFormat chart="0" format="28">
      <pivotArea type="data" outline="0" fieldPosition="0">
        <references count="3">
          <reference field="4294967294" count="1" selected="0">
            <x v="2"/>
          </reference>
          <reference field="4" count="1" selected="0">
            <x v="1"/>
          </reference>
          <reference field="7" count="1" selected="0">
            <x v="1"/>
          </reference>
        </references>
      </pivotArea>
    </chartFormat>
    <chartFormat chart="0" format="29">
      <pivotArea type="data" outline="0" fieldPosition="0">
        <references count="3">
          <reference field="4294967294" count="1" selected="0">
            <x v="2"/>
          </reference>
          <reference field="4" count="1" selected="0">
            <x v="2"/>
          </reference>
          <reference field="7" count="1" selected="0">
            <x v="1"/>
          </reference>
        </references>
      </pivotArea>
    </chartFormat>
    <chartFormat chart="0" format="30">
      <pivotArea type="data" outline="0" fieldPosition="0">
        <references count="3">
          <reference field="4294967294" count="1" selected="0">
            <x v="0"/>
          </reference>
          <reference field="4" count="1" selected="0">
            <x v="0"/>
          </reference>
          <reference field="7" count="1" selected="0">
            <x v="2"/>
          </reference>
        </references>
      </pivotArea>
    </chartFormat>
    <chartFormat chart="0" format="31">
      <pivotArea type="data" outline="0" fieldPosition="0">
        <references count="3">
          <reference field="4294967294" count="1" selected="0">
            <x v="0"/>
          </reference>
          <reference field="4" count="1" selected="0">
            <x v="1"/>
          </reference>
          <reference field="7" count="1" selected="0">
            <x v="2"/>
          </reference>
        </references>
      </pivotArea>
    </chartFormat>
    <chartFormat chart="0" format="32">
      <pivotArea type="data" outline="0" fieldPosition="0">
        <references count="3">
          <reference field="4294967294" count="1" selected="0">
            <x v="0"/>
          </reference>
          <reference field="4" count="1" selected="0">
            <x v="2"/>
          </reference>
          <reference field="7" count="1" selected="0">
            <x v="2"/>
          </reference>
        </references>
      </pivotArea>
    </chartFormat>
    <chartFormat chart="0" format="33">
      <pivotArea type="data" outline="0" fieldPosition="0">
        <references count="3">
          <reference field="4294967294" count="1" selected="0">
            <x v="1"/>
          </reference>
          <reference field="4" count="1" selected="0">
            <x v="0"/>
          </reference>
          <reference field="7" count="1" selected="0">
            <x v="2"/>
          </reference>
        </references>
      </pivotArea>
    </chartFormat>
    <chartFormat chart="0" format="34">
      <pivotArea type="data" outline="0" fieldPosition="0">
        <references count="3">
          <reference field="4294967294" count="1" selected="0">
            <x v="1"/>
          </reference>
          <reference field="4" count="1" selected="0">
            <x v="1"/>
          </reference>
          <reference field="7" count="1" selected="0">
            <x v="2"/>
          </reference>
        </references>
      </pivotArea>
    </chartFormat>
    <chartFormat chart="0" format="35">
      <pivotArea type="data" outline="0" fieldPosition="0">
        <references count="3">
          <reference field="4294967294" count="1" selected="0">
            <x v="1"/>
          </reference>
          <reference field="4" count="1" selected="0">
            <x v="2"/>
          </reference>
          <reference field="7" count="1" selected="0">
            <x v="2"/>
          </reference>
        </references>
      </pivotArea>
    </chartFormat>
    <chartFormat chart="0" format="36">
      <pivotArea type="data" outline="0" fieldPosition="0">
        <references count="3">
          <reference field="4294967294" count="1" selected="0">
            <x v="2"/>
          </reference>
          <reference field="4" count="1" selected="0">
            <x v="0"/>
          </reference>
          <reference field="7" count="1" selected="0">
            <x v="2"/>
          </reference>
        </references>
      </pivotArea>
    </chartFormat>
    <chartFormat chart="0" format="37">
      <pivotArea type="data" outline="0" fieldPosition="0">
        <references count="3">
          <reference field="4294967294" count="1" selected="0">
            <x v="2"/>
          </reference>
          <reference field="4" count="1" selected="0">
            <x v="1"/>
          </reference>
          <reference field="7" count="1" selected="0">
            <x v="2"/>
          </reference>
        </references>
      </pivotArea>
    </chartFormat>
    <chartFormat chart="0" format="38">
      <pivotArea type="data" outline="0" fieldPosition="0">
        <references count="3">
          <reference field="4294967294" count="1" selected="0">
            <x v="2"/>
          </reference>
          <reference field="4" count="1" selected="0">
            <x v="2"/>
          </reference>
          <reference field="7" count="1" selected="0">
            <x v="2"/>
          </reference>
        </references>
      </pivotArea>
    </chartFormat>
    <chartFormat chart="0" format="39">
      <pivotArea type="data" outline="0" fieldPosition="0">
        <references count="3">
          <reference field="4294967294" count="1" selected="0">
            <x v="0"/>
          </reference>
          <reference field="4" count="1" selected="0">
            <x v="0"/>
          </reference>
          <reference field="7" count="1" selected="0">
            <x v="3"/>
          </reference>
        </references>
      </pivotArea>
    </chartFormat>
    <chartFormat chart="0" format="40">
      <pivotArea type="data" outline="0" fieldPosition="0">
        <references count="3">
          <reference field="4294967294" count="1" selected="0">
            <x v="0"/>
          </reference>
          <reference field="4" count="1" selected="0">
            <x v="1"/>
          </reference>
          <reference field="7" count="1" selected="0">
            <x v="3"/>
          </reference>
        </references>
      </pivotArea>
    </chartFormat>
    <chartFormat chart="0" format="41">
      <pivotArea type="data" outline="0" fieldPosition="0">
        <references count="3">
          <reference field="4294967294" count="1" selected="0">
            <x v="0"/>
          </reference>
          <reference field="4" count="1" selected="0">
            <x v="2"/>
          </reference>
          <reference field="7" count="1" selected="0">
            <x v="3"/>
          </reference>
        </references>
      </pivotArea>
    </chartFormat>
    <chartFormat chart="0" format="42">
      <pivotArea type="data" outline="0" fieldPosition="0">
        <references count="3">
          <reference field="4294967294" count="1" selected="0">
            <x v="1"/>
          </reference>
          <reference field="4" count="1" selected="0">
            <x v="0"/>
          </reference>
          <reference field="7" count="1" selected="0">
            <x v="3"/>
          </reference>
        </references>
      </pivotArea>
    </chartFormat>
    <chartFormat chart="0" format="43">
      <pivotArea type="data" outline="0" fieldPosition="0">
        <references count="3">
          <reference field="4294967294" count="1" selected="0">
            <x v="1"/>
          </reference>
          <reference field="4" count="1" selected="0">
            <x v="1"/>
          </reference>
          <reference field="7" count="1" selected="0">
            <x v="3"/>
          </reference>
        </references>
      </pivotArea>
    </chartFormat>
    <chartFormat chart="0" format="44">
      <pivotArea type="data" outline="0" fieldPosition="0">
        <references count="3">
          <reference field="4294967294" count="1" selected="0">
            <x v="1"/>
          </reference>
          <reference field="4" count="1" selected="0">
            <x v="2"/>
          </reference>
          <reference field="7" count="1" selected="0">
            <x v="3"/>
          </reference>
        </references>
      </pivotArea>
    </chartFormat>
    <chartFormat chart="0" format="45">
      <pivotArea type="data" outline="0" fieldPosition="0">
        <references count="3">
          <reference field="4294967294" count="1" selected="0">
            <x v="2"/>
          </reference>
          <reference field="4" count="1" selected="0">
            <x v="0"/>
          </reference>
          <reference field="7" count="1" selected="0">
            <x v="3"/>
          </reference>
        </references>
      </pivotArea>
    </chartFormat>
    <chartFormat chart="0" format="46">
      <pivotArea type="data" outline="0" fieldPosition="0">
        <references count="3">
          <reference field="4294967294" count="1" selected="0">
            <x v="2"/>
          </reference>
          <reference field="4" count="1" selected="0">
            <x v="1"/>
          </reference>
          <reference field="7" count="1" selected="0">
            <x v="3"/>
          </reference>
        </references>
      </pivotArea>
    </chartFormat>
    <chartFormat chart="0" format="47">
      <pivotArea type="data" outline="0" fieldPosition="0">
        <references count="3">
          <reference field="4294967294" count="1" selected="0">
            <x v="2"/>
          </reference>
          <reference field="4" count="1" selected="0">
            <x v="2"/>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769CE47-C2D5-4DC8-AA0D-3B1262362C72}" sourceName="Segment">
  <pivotTables>
    <pivotTable tabId="17" name="PivotTable2"/>
  </pivotTables>
  <data>
    <tabular pivotCacheId="383491890">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0F949CA-FF66-4C78-845B-1D5AFE321E98}" sourceName="Region">
  <pivotTables>
    <pivotTable tabId="17" name="PivotTable2"/>
  </pivotTables>
  <data>
    <tabular pivotCacheId="383491890">
      <items count="4">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216816AB-7416-4558-B043-3AF3E72F472E}" sourceName="Region">
  <pivotTables>
    <pivotTable tabId="16" name="PivotTable1"/>
  </pivotTables>
  <data>
    <tabular pivotCacheId="383491890">
      <items count="4">
        <i x="2" s="1"/>
        <i x="0"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DC7858C9-0B48-4307-B097-994EFDD32F0B}" sourceName="Category">
  <pivotTables>
    <pivotTable tabId="18" name="PivotTable3"/>
  </pivotTables>
  <data>
    <tabular pivotCacheId="383491890">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42366449-18FD-40BC-BC2E-93A41A622EF0}" sourceName="Sub-Category">
  <pivotTables>
    <pivotTable tabId="18" name="PivotTable3"/>
  </pivotTables>
  <data>
    <tabular pivotCacheId="383491890">
      <items count="17">
        <i x="8" s="1"/>
        <i x="5" s="1"/>
        <i x="4" s="1"/>
        <i x="1" s="1"/>
        <i x="13" s="1"/>
        <i x="3" s="1"/>
        <i x="16" s="1"/>
        <i x="12" s="1"/>
        <i x="11" s="1"/>
        <i x="0" s="1"/>
        <i x="15" s="1"/>
        <i x="6" s="1"/>
        <i x="9" s="1"/>
        <i x="14" s="1"/>
        <i x="2" s="1"/>
        <i x="10"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B985A1C-67B9-4C41-868E-B5B3743A8D5D}" cache="Slicer_Region1" caption="Region" style="SlicerStyleLight5"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09597300-A854-44FB-B1A9-EFACFAEB95B1}" cache="Slicer_Category1" caption="Category" style="SlicerStyleLight5" rowHeight="251883"/>
  <slicer name="Sub-Category" xr10:uid="{2E88601C-5B50-4AB3-860C-EEA1F55F42A7}" cache="Slicer_Sub_Category" caption="Sub-Category" style="SlicerStyleLight2"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2934FBE9-35EC-4E45-9FCD-C41694009FD8}" cache="Slicer_Segment" caption="Segment" style="SlicerStyleLight5" rowHeight="251883"/>
  <slicer name="Region" xr10:uid="{D7B3A320-3DF2-43A4-A0F4-2C57486B12EF}" cache="Slicer_Region" caption="Region" style="SlicerStyleLight2"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35009A94-DD8F-4A12-B004-966F172615E3}" cache="Slicer_Segment" caption="Segment" style="SlicerStyleLight5" rowHeight="251883"/>
  <slicer name="Region 3" xr10:uid="{50B11C69-C491-4DD6-8629-F94A9E0BD6BE}" cache="Slicer_Region" caption="Region" style="SlicerStyleLight2" rowHeight="251883"/>
  <slicer name="Region 2" xr10:uid="{3B9FFBCD-49EC-4622-84AF-ECDD36C881FB}" cache="Slicer_Region1" caption="Region" style="SlicerStyleLight5" rowHeight="251883"/>
  <slicer name="Category 2" xr10:uid="{1AAA2D04-3D7C-446D-8DC4-7D7ECC5B5A1C}" cache="Slicer_Category1" caption="Category" style="SlicerStyleLight5" rowHeight="251883"/>
  <slicer name="Sub-Category 1" xr10:uid="{AD9208D4-C5FA-409A-91FF-41F195BFCA92}" cache="Slicer_Sub_Category" caption="Sub-Category" style="SlicerStyleLight2"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11.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12.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59561-43B5-4A69-968E-36FBB7FA3B7A}">
  <dimension ref="A1:P157"/>
  <sheetViews>
    <sheetView workbookViewId="0">
      <selection activeCell="C9" sqref="C9"/>
    </sheetView>
  </sheetViews>
  <sheetFormatPr defaultRowHeight="14.5" x14ac:dyDescent="0.35"/>
  <cols>
    <col min="1" max="1" width="14.54296875" bestFit="1" customWidth="1"/>
    <col min="2" max="2" width="9.7265625" bestFit="1" customWidth="1"/>
    <col min="3" max="3" width="10.90625" bestFit="1" customWidth="1"/>
    <col min="4" max="4" width="17.90625" bestFit="1" customWidth="1"/>
    <col min="5" max="5" width="10.90625" bestFit="1" customWidth="1"/>
    <col min="6" max="6" width="17.1796875" bestFit="1" customWidth="1"/>
    <col min="7" max="7" width="17" bestFit="1" customWidth="1"/>
    <col min="8" max="8" width="6.81640625" bestFit="1" customWidth="1"/>
    <col min="9" max="9" width="16.08984375" bestFit="1" customWidth="1"/>
    <col min="10" max="10" width="13" bestFit="1" customWidth="1"/>
    <col min="11" max="11" width="11.7265625" bestFit="1" customWidth="1"/>
    <col min="12" max="12" width="107.08984375" bestFit="1" customWidth="1"/>
    <col min="13" max="13" width="8.81640625" bestFit="1" customWidth="1"/>
    <col min="14" max="14" width="7.7265625" bestFit="1" customWidth="1"/>
    <col min="15" max="15" width="8.08984375" bestFit="1" customWidth="1"/>
    <col min="16" max="16" width="9.81640625" bestFit="1" customWidth="1"/>
  </cols>
  <sheetData>
    <row r="1" spans="1:16" x14ac:dyDescent="0.35">
      <c r="A1" t="s">
        <v>615</v>
      </c>
    </row>
    <row r="2" spans="1:16" x14ac:dyDescent="0.35">
      <c r="A2" t="s">
        <v>0</v>
      </c>
      <c r="B2" t="s">
        <v>1</v>
      </c>
      <c r="C2" t="s">
        <v>2</v>
      </c>
      <c r="D2" t="s">
        <v>542</v>
      </c>
      <c r="E2" t="s">
        <v>3</v>
      </c>
      <c r="F2" t="s">
        <v>4</v>
      </c>
      <c r="G2" t="s">
        <v>5</v>
      </c>
      <c r="H2" t="s">
        <v>6</v>
      </c>
      <c r="I2" t="s">
        <v>611</v>
      </c>
      <c r="J2" t="s">
        <v>7</v>
      </c>
      <c r="K2" t="s">
        <v>8</v>
      </c>
      <c r="L2" t="s">
        <v>612</v>
      </c>
      <c r="M2" t="s">
        <v>9</v>
      </c>
      <c r="N2" t="s">
        <v>10</v>
      </c>
      <c r="O2" t="s">
        <v>11</v>
      </c>
      <c r="P2" t="s">
        <v>12</v>
      </c>
    </row>
    <row r="3" spans="1:16" x14ac:dyDescent="0.35">
      <c r="A3" t="s">
        <v>255</v>
      </c>
      <c r="B3" s="1">
        <v>42736</v>
      </c>
      <c r="C3" t="s">
        <v>256</v>
      </c>
      <c r="D3" t="s">
        <v>543</v>
      </c>
      <c r="E3" t="s">
        <v>613</v>
      </c>
      <c r="F3" t="s">
        <v>257</v>
      </c>
      <c r="G3" t="s">
        <v>95</v>
      </c>
      <c r="H3" t="s">
        <v>55</v>
      </c>
      <c r="I3" t="s">
        <v>258</v>
      </c>
      <c r="J3" t="s">
        <v>15</v>
      </c>
      <c r="K3" t="s">
        <v>31</v>
      </c>
      <c r="L3" t="s">
        <v>259</v>
      </c>
      <c r="M3">
        <v>48.896000000000001</v>
      </c>
      <c r="N3">
        <v>4</v>
      </c>
      <c r="O3">
        <v>0.2</v>
      </c>
      <c r="P3">
        <v>8.5568000000000008</v>
      </c>
    </row>
    <row r="4" spans="1:16" x14ac:dyDescent="0.35">
      <c r="A4" t="s">
        <v>468</v>
      </c>
      <c r="B4" s="1">
        <v>42736</v>
      </c>
      <c r="C4" t="s">
        <v>98</v>
      </c>
      <c r="D4" t="s">
        <v>544</v>
      </c>
      <c r="E4" t="s">
        <v>613</v>
      </c>
      <c r="F4" t="s">
        <v>19</v>
      </c>
      <c r="G4" t="s">
        <v>20</v>
      </c>
      <c r="H4" t="s">
        <v>21</v>
      </c>
      <c r="I4" t="s">
        <v>469</v>
      </c>
      <c r="J4" t="s">
        <v>15</v>
      </c>
      <c r="K4" t="s">
        <v>31</v>
      </c>
      <c r="L4" t="s">
        <v>470</v>
      </c>
      <c r="M4">
        <v>474.43</v>
      </c>
      <c r="N4">
        <v>11</v>
      </c>
      <c r="O4">
        <v>0</v>
      </c>
      <c r="P4">
        <v>199.26060000000001</v>
      </c>
    </row>
    <row r="5" spans="1:16" x14ac:dyDescent="0.35">
      <c r="A5" t="s">
        <v>511</v>
      </c>
      <c r="B5" s="1">
        <v>42736</v>
      </c>
      <c r="C5" t="s">
        <v>356</v>
      </c>
      <c r="D5" t="s">
        <v>545</v>
      </c>
      <c r="E5" t="s">
        <v>47</v>
      </c>
      <c r="F5" t="s">
        <v>107</v>
      </c>
      <c r="G5" t="s">
        <v>49</v>
      </c>
      <c r="H5" t="s">
        <v>48</v>
      </c>
      <c r="I5" t="s">
        <v>282</v>
      </c>
      <c r="J5" t="s">
        <v>610</v>
      </c>
      <c r="K5" t="s">
        <v>39</v>
      </c>
      <c r="L5" t="s">
        <v>283</v>
      </c>
      <c r="M5">
        <v>3.6</v>
      </c>
      <c r="N5">
        <v>2</v>
      </c>
      <c r="O5">
        <v>0</v>
      </c>
      <c r="P5">
        <v>1.728</v>
      </c>
    </row>
    <row r="6" spans="1:16" x14ac:dyDescent="0.35">
      <c r="A6" t="s">
        <v>526</v>
      </c>
      <c r="B6" s="1">
        <v>42736</v>
      </c>
      <c r="C6" t="s">
        <v>90</v>
      </c>
      <c r="D6" t="s">
        <v>546</v>
      </c>
      <c r="E6" t="s">
        <v>613</v>
      </c>
      <c r="F6" t="s">
        <v>176</v>
      </c>
      <c r="G6" t="s">
        <v>614</v>
      </c>
      <c r="H6" t="s">
        <v>48</v>
      </c>
      <c r="I6" t="s">
        <v>170</v>
      </c>
      <c r="J6" t="s">
        <v>610</v>
      </c>
      <c r="K6" t="s">
        <v>27</v>
      </c>
      <c r="L6" t="s">
        <v>171</v>
      </c>
      <c r="M6">
        <v>454.56</v>
      </c>
      <c r="N6">
        <v>5</v>
      </c>
      <c r="O6">
        <v>0.2</v>
      </c>
      <c r="P6">
        <v>-107.958</v>
      </c>
    </row>
    <row r="7" spans="1:16" x14ac:dyDescent="0.35">
      <c r="A7" t="s">
        <v>526</v>
      </c>
      <c r="B7" s="1">
        <v>42736</v>
      </c>
      <c r="C7" t="s">
        <v>90</v>
      </c>
      <c r="D7" t="s">
        <v>546</v>
      </c>
      <c r="E7" t="s">
        <v>613</v>
      </c>
      <c r="F7" t="s">
        <v>176</v>
      </c>
      <c r="G7" t="s">
        <v>614</v>
      </c>
      <c r="H7" t="s">
        <v>48</v>
      </c>
      <c r="I7" t="s">
        <v>442</v>
      </c>
      <c r="J7" t="s">
        <v>15</v>
      </c>
      <c r="K7" t="s">
        <v>31</v>
      </c>
      <c r="L7" t="s">
        <v>443</v>
      </c>
      <c r="M7">
        <v>141.41999999999999</v>
      </c>
      <c r="N7">
        <v>5</v>
      </c>
      <c r="O7">
        <v>0.6</v>
      </c>
      <c r="P7">
        <v>-187.38149999999999</v>
      </c>
    </row>
    <row r="8" spans="1:16" x14ac:dyDescent="0.35">
      <c r="A8" t="s">
        <v>526</v>
      </c>
      <c r="B8" s="1">
        <v>42736</v>
      </c>
      <c r="C8" t="s">
        <v>90</v>
      </c>
      <c r="D8" t="s">
        <v>546</v>
      </c>
      <c r="E8" t="s">
        <v>613</v>
      </c>
      <c r="F8" t="s">
        <v>176</v>
      </c>
      <c r="G8" t="s">
        <v>614</v>
      </c>
      <c r="H8" t="s">
        <v>48</v>
      </c>
      <c r="I8" t="s">
        <v>250</v>
      </c>
      <c r="J8" t="s">
        <v>15</v>
      </c>
      <c r="K8" t="s">
        <v>17</v>
      </c>
      <c r="L8" t="s">
        <v>251</v>
      </c>
      <c r="M8">
        <v>310.74400000000003</v>
      </c>
      <c r="N8">
        <v>4</v>
      </c>
      <c r="O8">
        <v>0.3</v>
      </c>
      <c r="P8">
        <v>-26.635200000000001</v>
      </c>
    </row>
    <row r="9" spans="1:16" x14ac:dyDescent="0.35">
      <c r="A9" t="s">
        <v>526</v>
      </c>
      <c r="B9" s="1">
        <v>42736</v>
      </c>
      <c r="C9" t="s">
        <v>90</v>
      </c>
      <c r="D9" t="s">
        <v>546</v>
      </c>
      <c r="E9" t="s">
        <v>613</v>
      </c>
      <c r="F9" t="s">
        <v>176</v>
      </c>
      <c r="G9" t="s">
        <v>614</v>
      </c>
      <c r="H9" t="s">
        <v>48</v>
      </c>
      <c r="I9" t="s">
        <v>268</v>
      </c>
      <c r="J9" t="s">
        <v>610</v>
      </c>
      <c r="K9" t="s">
        <v>33</v>
      </c>
      <c r="L9" t="s">
        <v>269</v>
      </c>
      <c r="M9">
        <v>12.736000000000001</v>
      </c>
      <c r="N9">
        <v>4</v>
      </c>
      <c r="O9">
        <v>0.2</v>
      </c>
      <c r="P9">
        <v>2.2288000000000001</v>
      </c>
    </row>
    <row r="10" spans="1:16" x14ac:dyDescent="0.35">
      <c r="A10" t="s">
        <v>526</v>
      </c>
      <c r="B10" s="1">
        <v>42736</v>
      </c>
      <c r="C10" t="s">
        <v>90</v>
      </c>
      <c r="D10" t="s">
        <v>546</v>
      </c>
      <c r="E10" t="s">
        <v>613</v>
      </c>
      <c r="F10" t="s">
        <v>176</v>
      </c>
      <c r="G10" t="s">
        <v>614</v>
      </c>
      <c r="H10" t="s">
        <v>48</v>
      </c>
      <c r="I10" t="s">
        <v>243</v>
      </c>
      <c r="J10" t="s">
        <v>610</v>
      </c>
      <c r="K10" t="s">
        <v>39</v>
      </c>
      <c r="L10" t="s">
        <v>244</v>
      </c>
      <c r="M10">
        <v>6.47</v>
      </c>
      <c r="N10">
        <v>5</v>
      </c>
      <c r="O10">
        <v>0.8</v>
      </c>
      <c r="P10">
        <v>-9.7050000000000001</v>
      </c>
    </row>
    <row r="11" spans="1:16" x14ac:dyDescent="0.35">
      <c r="A11" t="s">
        <v>526</v>
      </c>
      <c r="B11" s="1">
        <v>42736</v>
      </c>
      <c r="C11" t="s">
        <v>90</v>
      </c>
      <c r="D11" t="s">
        <v>546</v>
      </c>
      <c r="E11" t="s">
        <v>613</v>
      </c>
      <c r="F11" t="s">
        <v>176</v>
      </c>
      <c r="G11" t="s">
        <v>614</v>
      </c>
      <c r="H11" t="s">
        <v>48</v>
      </c>
      <c r="I11" t="s">
        <v>122</v>
      </c>
      <c r="J11" t="s">
        <v>610</v>
      </c>
      <c r="K11" t="s">
        <v>39</v>
      </c>
      <c r="L11" t="s">
        <v>123</v>
      </c>
      <c r="M11">
        <v>13.747999999999999</v>
      </c>
      <c r="N11">
        <v>14</v>
      </c>
      <c r="O11">
        <v>0.8</v>
      </c>
      <c r="P11">
        <v>-22.684200000000001</v>
      </c>
    </row>
    <row r="12" spans="1:16" x14ac:dyDescent="0.35">
      <c r="A12" t="s">
        <v>526</v>
      </c>
      <c r="B12" s="1">
        <v>42736</v>
      </c>
      <c r="C12" t="s">
        <v>90</v>
      </c>
      <c r="D12" t="s">
        <v>546</v>
      </c>
      <c r="E12" t="s">
        <v>613</v>
      </c>
      <c r="F12" t="s">
        <v>176</v>
      </c>
      <c r="G12" t="s">
        <v>614</v>
      </c>
      <c r="H12" t="s">
        <v>48</v>
      </c>
      <c r="I12" t="s">
        <v>204</v>
      </c>
      <c r="J12" t="s">
        <v>610</v>
      </c>
      <c r="K12" t="s">
        <v>41</v>
      </c>
      <c r="L12" t="s">
        <v>205</v>
      </c>
      <c r="M12">
        <v>15.224</v>
      </c>
      <c r="N12">
        <v>2</v>
      </c>
      <c r="O12">
        <v>0.8</v>
      </c>
      <c r="P12">
        <v>-38.821199999999997</v>
      </c>
    </row>
    <row r="13" spans="1:16" x14ac:dyDescent="0.35">
      <c r="A13" t="s">
        <v>323</v>
      </c>
      <c r="B13" s="1">
        <v>42737</v>
      </c>
      <c r="C13" t="s">
        <v>324</v>
      </c>
      <c r="D13" t="s">
        <v>547</v>
      </c>
      <c r="E13" t="s">
        <v>18</v>
      </c>
      <c r="F13" t="s">
        <v>163</v>
      </c>
      <c r="G13" t="s">
        <v>42</v>
      </c>
      <c r="H13" t="s">
        <v>14</v>
      </c>
      <c r="I13" t="s">
        <v>325</v>
      </c>
      <c r="J13" t="s">
        <v>35</v>
      </c>
      <c r="K13" t="s">
        <v>115</v>
      </c>
      <c r="L13" t="s">
        <v>326</v>
      </c>
      <c r="M13">
        <v>695.7</v>
      </c>
      <c r="N13">
        <v>2</v>
      </c>
      <c r="O13">
        <v>0.5</v>
      </c>
      <c r="P13">
        <v>-27.827999999999999</v>
      </c>
    </row>
    <row r="14" spans="1:16" x14ac:dyDescent="0.35">
      <c r="A14" t="s">
        <v>323</v>
      </c>
      <c r="B14" s="1">
        <v>42737</v>
      </c>
      <c r="C14" t="s">
        <v>324</v>
      </c>
      <c r="D14" t="s">
        <v>547</v>
      </c>
      <c r="E14" t="s">
        <v>18</v>
      </c>
      <c r="F14" t="s">
        <v>163</v>
      </c>
      <c r="G14" t="s">
        <v>42</v>
      </c>
      <c r="H14" t="s">
        <v>14</v>
      </c>
      <c r="I14" t="s">
        <v>311</v>
      </c>
      <c r="J14" t="s">
        <v>610</v>
      </c>
      <c r="K14" t="s">
        <v>39</v>
      </c>
      <c r="L14" t="s">
        <v>312</v>
      </c>
      <c r="M14">
        <v>15.66</v>
      </c>
      <c r="N14">
        <v>5</v>
      </c>
      <c r="O14">
        <v>0.7</v>
      </c>
      <c r="P14">
        <v>-12.528</v>
      </c>
    </row>
    <row r="15" spans="1:16" x14ac:dyDescent="0.35">
      <c r="A15" t="s">
        <v>323</v>
      </c>
      <c r="B15" s="1">
        <v>42737</v>
      </c>
      <c r="C15" t="s">
        <v>324</v>
      </c>
      <c r="D15" t="s">
        <v>547</v>
      </c>
      <c r="E15" t="s">
        <v>18</v>
      </c>
      <c r="F15" t="s">
        <v>163</v>
      </c>
      <c r="G15" t="s">
        <v>42</v>
      </c>
      <c r="H15" t="s">
        <v>14</v>
      </c>
      <c r="I15" t="s">
        <v>60</v>
      </c>
      <c r="J15" t="s">
        <v>610</v>
      </c>
      <c r="K15" t="s">
        <v>39</v>
      </c>
      <c r="L15" t="s">
        <v>61</v>
      </c>
      <c r="M15">
        <v>28.853999999999999</v>
      </c>
      <c r="N15">
        <v>6</v>
      </c>
      <c r="O15">
        <v>0.7</v>
      </c>
      <c r="P15">
        <v>-21.159600000000001</v>
      </c>
    </row>
    <row r="16" spans="1:16" x14ac:dyDescent="0.35">
      <c r="A16" t="s">
        <v>529</v>
      </c>
      <c r="B16" s="1">
        <v>42737</v>
      </c>
      <c r="C16" t="s">
        <v>504</v>
      </c>
      <c r="D16" t="s">
        <v>548</v>
      </c>
      <c r="E16" t="s">
        <v>613</v>
      </c>
      <c r="F16" t="s">
        <v>352</v>
      </c>
      <c r="G16" t="s">
        <v>614</v>
      </c>
      <c r="H16" t="s">
        <v>48</v>
      </c>
      <c r="I16" t="s">
        <v>348</v>
      </c>
      <c r="J16" t="s">
        <v>610</v>
      </c>
      <c r="K16" t="s">
        <v>33</v>
      </c>
      <c r="L16" t="s">
        <v>349</v>
      </c>
      <c r="M16">
        <v>31.744</v>
      </c>
      <c r="N16">
        <v>2</v>
      </c>
      <c r="O16">
        <v>0.2</v>
      </c>
      <c r="P16">
        <v>3.968</v>
      </c>
    </row>
    <row r="17" spans="1:16" x14ac:dyDescent="0.35">
      <c r="A17" t="s">
        <v>529</v>
      </c>
      <c r="B17" s="1">
        <v>42737</v>
      </c>
      <c r="C17" t="s">
        <v>504</v>
      </c>
      <c r="D17" t="s">
        <v>548</v>
      </c>
      <c r="E17" t="s">
        <v>613</v>
      </c>
      <c r="F17" t="s">
        <v>352</v>
      </c>
      <c r="G17" t="s">
        <v>614</v>
      </c>
      <c r="H17" t="s">
        <v>48</v>
      </c>
      <c r="I17" t="s">
        <v>522</v>
      </c>
      <c r="J17" t="s">
        <v>610</v>
      </c>
      <c r="K17" t="s">
        <v>41</v>
      </c>
      <c r="L17" t="s">
        <v>523</v>
      </c>
      <c r="M17">
        <v>5.4320000000000004</v>
      </c>
      <c r="N17">
        <v>2</v>
      </c>
      <c r="O17">
        <v>0.8</v>
      </c>
      <c r="P17">
        <v>-13.58</v>
      </c>
    </row>
    <row r="18" spans="1:16" x14ac:dyDescent="0.35">
      <c r="A18" t="s">
        <v>529</v>
      </c>
      <c r="B18" s="1">
        <v>42737</v>
      </c>
      <c r="C18" t="s">
        <v>504</v>
      </c>
      <c r="D18" t="s">
        <v>548</v>
      </c>
      <c r="E18" t="s">
        <v>613</v>
      </c>
      <c r="F18" t="s">
        <v>352</v>
      </c>
      <c r="G18" t="s">
        <v>614</v>
      </c>
      <c r="H18" t="s">
        <v>48</v>
      </c>
      <c r="I18" t="s">
        <v>334</v>
      </c>
      <c r="J18" t="s">
        <v>15</v>
      </c>
      <c r="K18" t="s">
        <v>25</v>
      </c>
      <c r="L18" t="s">
        <v>335</v>
      </c>
      <c r="M18">
        <v>913.43</v>
      </c>
      <c r="N18">
        <v>5</v>
      </c>
      <c r="O18">
        <v>0.3</v>
      </c>
      <c r="P18">
        <v>-169.637</v>
      </c>
    </row>
    <row r="19" spans="1:16" x14ac:dyDescent="0.35">
      <c r="A19" t="s">
        <v>529</v>
      </c>
      <c r="B19" s="1">
        <v>42737</v>
      </c>
      <c r="C19" t="s">
        <v>504</v>
      </c>
      <c r="D19" t="s">
        <v>548</v>
      </c>
      <c r="E19" t="s">
        <v>613</v>
      </c>
      <c r="F19" t="s">
        <v>352</v>
      </c>
      <c r="G19" t="s">
        <v>614</v>
      </c>
      <c r="H19" t="s">
        <v>48</v>
      </c>
      <c r="I19" t="s">
        <v>439</v>
      </c>
      <c r="J19" t="s">
        <v>610</v>
      </c>
      <c r="K19" t="s">
        <v>27</v>
      </c>
      <c r="L19" t="s">
        <v>440</v>
      </c>
      <c r="M19">
        <v>372.14400000000001</v>
      </c>
      <c r="N19">
        <v>3</v>
      </c>
      <c r="O19">
        <v>0.2</v>
      </c>
      <c r="P19">
        <v>27.910799999999998</v>
      </c>
    </row>
    <row r="20" spans="1:16" x14ac:dyDescent="0.35">
      <c r="A20" t="s">
        <v>538</v>
      </c>
      <c r="B20" s="1">
        <v>42737</v>
      </c>
      <c r="C20" t="s">
        <v>521</v>
      </c>
      <c r="D20" t="s">
        <v>549</v>
      </c>
      <c r="E20" t="s">
        <v>18</v>
      </c>
      <c r="F20" t="s">
        <v>19</v>
      </c>
      <c r="G20" t="s">
        <v>20</v>
      </c>
      <c r="H20" t="s">
        <v>21</v>
      </c>
      <c r="I20" t="s">
        <v>419</v>
      </c>
      <c r="J20" t="s">
        <v>35</v>
      </c>
      <c r="K20" t="s">
        <v>58</v>
      </c>
      <c r="L20" t="s">
        <v>420</v>
      </c>
      <c r="M20">
        <v>16.59</v>
      </c>
      <c r="N20">
        <v>1</v>
      </c>
      <c r="O20">
        <v>0</v>
      </c>
      <c r="P20">
        <v>5.8064999999999998</v>
      </c>
    </row>
    <row r="21" spans="1:16" x14ac:dyDescent="0.35">
      <c r="A21" t="s">
        <v>492</v>
      </c>
      <c r="B21" s="1">
        <v>42738</v>
      </c>
      <c r="C21" t="s">
        <v>129</v>
      </c>
      <c r="D21" t="s">
        <v>550</v>
      </c>
      <c r="E21" t="s">
        <v>613</v>
      </c>
      <c r="F21" t="s">
        <v>391</v>
      </c>
      <c r="G21" t="s">
        <v>20</v>
      </c>
      <c r="H21" t="s">
        <v>21</v>
      </c>
      <c r="I21" t="s">
        <v>307</v>
      </c>
      <c r="J21" t="s">
        <v>610</v>
      </c>
      <c r="K21" t="s">
        <v>43</v>
      </c>
      <c r="L21" t="s">
        <v>308</v>
      </c>
      <c r="M21">
        <v>38.880000000000003</v>
      </c>
      <c r="N21">
        <v>6</v>
      </c>
      <c r="O21">
        <v>0</v>
      </c>
      <c r="P21">
        <v>18.662400000000002</v>
      </c>
    </row>
    <row r="22" spans="1:16" x14ac:dyDescent="0.35">
      <c r="A22" t="s">
        <v>535</v>
      </c>
      <c r="B22" s="1">
        <v>42738</v>
      </c>
      <c r="C22" t="s">
        <v>182</v>
      </c>
      <c r="D22" t="s">
        <v>551</v>
      </c>
      <c r="E22" t="s">
        <v>613</v>
      </c>
      <c r="F22" t="s">
        <v>50</v>
      </c>
      <c r="G22" t="s">
        <v>20</v>
      </c>
      <c r="H22" t="s">
        <v>21</v>
      </c>
      <c r="I22" t="s">
        <v>161</v>
      </c>
      <c r="J22" t="s">
        <v>610</v>
      </c>
      <c r="K22" t="s">
        <v>39</v>
      </c>
      <c r="L22" t="s">
        <v>162</v>
      </c>
      <c r="M22">
        <v>2022.2719999999999</v>
      </c>
      <c r="N22">
        <v>8</v>
      </c>
      <c r="O22">
        <v>0.2</v>
      </c>
      <c r="P22">
        <v>682.51679999999999</v>
      </c>
    </row>
    <row r="23" spans="1:16" x14ac:dyDescent="0.35">
      <c r="A23" t="s">
        <v>535</v>
      </c>
      <c r="B23" s="1">
        <v>42738</v>
      </c>
      <c r="C23" t="s">
        <v>182</v>
      </c>
      <c r="D23" t="s">
        <v>551</v>
      </c>
      <c r="E23" t="s">
        <v>613</v>
      </c>
      <c r="F23" t="s">
        <v>50</v>
      </c>
      <c r="G23" t="s">
        <v>20</v>
      </c>
      <c r="H23" t="s">
        <v>21</v>
      </c>
      <c r="I23" t="s">
        <v>405</v>
      </c>
      <c r="J23" t="s">
        <v>610</v>
      </c>
      <c r="K23" t="s">
        <v>33</v>
      </c>
      <c r="L23" t="s">
        <v>406</v>
      </c>
      <c r="M23">
        <v>9.1199999999999992</v>
      </c>
      <c r="N23">
        <v>3</v>
      </c>
      <c r="O23">
        <v>0</v>
      </c>
      <c r="P23">
        <v>3.1008</v>
      </c>
    </row>
    <row r="24" spans="1:16" x14ac:dyDescent="0.35">
      <c r="A24" t="s">
        <v>484</v>
      </c>
      <c r="B24" s="1">
        <v>42741</v>
      </c>
      <c r="C24" t="s">
        <v>356</v>
      </c>
      <c r="D24" t="s">
        <v>545</v>
      </c>
      <c r="E24" t="s">
        <v>47</v>
      </c>
      <c r="F24" t="s">
        <v>485</v>
      </c>
      <c r="G24" t="s">
        <v>83</v>
      </c>
      <c r="H24" t="s">
        <v>14</v>
      </c>
      <c r="I24" t="s">
        <v>210</v>
      </c>
      <c r="J24" t="s">
        <v>610</v>
      </c>
      <c r="K24" t="s">
        <v>39</v>
      </c>
      <c r="L24" t="s">
        <v>211</v>
      </c>
      <c r="M24">
        <v>33.74</v>
      </c>
      <c r="N24">
        <v>7</v>
      </c>
      <c r="O24">
        <v>0</v>
      </c>
      <c r="P24">
        <v>15.5204</v>
      </c>
    </row>
    <row r="25" spans="1:16" x14ac:dyDescent="0.35">
      <c r="A25" t="s">
        <v>284</v>
      </c>
      <c r="B25" s="1">
        <v>42742</v>
      </c>
      <c r="C25" t="s">
        <v>254</v>
      </c>
      <c r="D25" t="s">
        <v>552</v>
      </c>
      <c r="E25" t="s">
        <v>18</v>
      </c>
      <c r="F25" t="s">
        <v>125</v>
      </c>
      <c r="G25" t="s">
        <v>69</v>
      </c>
      <c r="H25" t="s">
        <v>48</v>
      </c>
      <c r="I25" t="s">
        <v>114</v>
      </c>
      <c r="J25" t="s">
        <v>35</v>
      </c>
      <c r="K25" t="s">
        <v>115</v>
      </c>
      <c r="L25" t="s">
        <v>116</v>
      </c>
      <c r="M25">
        <v>3059.982</v>
      </c>
      <c r="N25">
        <v>2</v>
      </c>
      <c r="O25">
        <v>0.1</v>
      </c>
      <c r="P25">
        <v>679.99599999999998</v>
      </c>
    </row>
    <row r="26" spans="1:16" x14ac:dyDescent="0.35">
      <c r="A26" t="s">
        <v>394</v>
      </c>
      <c r="B26" s="1">
        <v>42742</v>
      </c>
      <c r="C26" t="s">
        <v>343</v>
      </c>
      <c r="D26" t="s">
        <v>553</v>
      </c>
      <c r="E26" t="s">
        <v>613</v>
      </c>
      <c r="F26" t="s">
        <v>395</v>
      </c>
      <c r="G26" t="s">
        <v>24</v>
      </c>
      <c r="H26" t="s">
        <v>14</v>
      </c>
      <c r="I26" t="s">
        <v>276</v>
      </c>
      <c r="J26" t="s">
        <v>610</v>
      </c>
      <c r="K26" t="s">
        <v>39</v>
      </c>
      <c r="L26" t="s">
        <v>277</v>
      </c>
      <c r="M26">
        <v>2.8079999999999998</v>
      </c>
      <c r="N26">
        <v>3</v>
      </c>
      <c r="O26">
        <v>0.7</v>
      </c>
      <c r="P26">
        <v>-1.9656</v>
      </c>
    </row>
    <row r="27" spans="1:16" x14ac:dyDescent="0.35">
      <c r="A27" t="s">
        <v>519</v>
      </c>
      <c r="B27" s="1">
        <v>42742</v>
      </c>
      <c r="C27" t="s">
        <v>322</v>
      </c>
      <c r="D27" t="s">
        <v>554</v>
      </c>
      <c r="E27" t="s">
        <v>613</v>
      </c>
      <c r="F27" t="s">
        <v>140</v>
      </c>
      <c r="G27" t="s">
        <v>20</v>
      </c>
      <c r="H27" t="s">
        <v>21</v>
      </c>
      <c r="I27" t="s">
        <v>26</v>
      </c>
      <c r="J27" t="s">
        <v>610</v>
      </c>
      <c r="K27" t="s">
        <v>27</v>
      </c>
      <c r="L27" t="s">
        <v>28</v>
      </c>
      <c r="M27">
        <v>153.78</v>
      </c>
      <c r="N27">
        <v>11</v>
      </c>
      <c r="O27">
        <v>0</v>
      </c>
      <c r="P27">
        <v>44.596200000000003</v>
      </c>
    </row>
    <row r="28" spans="1:16" x14ac:dyDescent="0.35">
      <c r="A28" t="s">
        <v>519</v>
      </c>
      <c r="B28" s="1">
        <v>42742</v>
      </c>
      <c r="C28" t="s">
        <v>322</v>
      </c>
      <c r="D28" t="s">
        <v>554</v>
      </c>
      <c r="E28" t="s">
        <v>613</v>
      </c>
      <c r="F28" t="s">
        <v>140</v>
      </c>
      <c r="G28" t="s">
        <v>20</v>
      </c>
      <c r="H28" t="s">
        <v>21</v>
      </c>
      <c r="I28" t="s">
        <v>451</v>
      </c>
      <c r="J28" t="s">
        <v>610</v>
      </c>
      <c r="K28" t="s">
        <v>27</v>
      </c>
      <c r="L28" t="s">
        <v>452</v>
      </c>
      <c r="M28">
        <v>61.02</v>
      </c>
      <c r="N28">
        <v>3</v>
      </c>
      <c r="O28">
        <v>0</v>
      </c>
      <c r="P28">
        <v>0.61019999999999996</v>
      </c>
    </row>
    <row r="29" spans="1:16" x14ac:dyDescent="0.35">
      <c r="A29" t="s">
        <v>519</v>
      </c>
      <c r="B29" s="1">
        <v>42742</v>
      </c>
      <c r="C29" t="s">
        <v>322</v>
      </c>
      <c r="D29" t="s">
        <v>554</v>
      </c>
      <c r="E29" t="s">
        <v>613</v>
      </c>
      <c r="F29" t="s">
        <v>140</v>
      </c>
      <c r="G29" t="s">
        <v>20</v>
      </c>
      <c r="H29" t="s">
        <v>21</v>
      </c>
      <c r="I29" t="s">
        <v>513</v>
      </c>
      <c r="J29" t="s">
        <v>610</v>
      </c>
      <c r="K29" t="s">
        <v>105</v>
      </c>
      <c r="L29" t="s">
        <v>514</v>
      </c>
      <c r="M29">
        <v>110.11</v>
      </c>
      <c r="N29">
        <v>7</v>
      </c>
      <c r="O29">
        <v>0</v>
      </c>
      <c r="P29">
        <v>31.931899999999999</v>
      </c>
    </row>
    <row r="30" spans="1:16" x14ac:dyDescent="0.35">
      <c r="A30" t="s">
        <v>519</v>
      </c>
      <c r="B30" s="1">
        <v>42742</v>
      </c>
      <c r="C30" t="s">
        <v>322</v>
      </c>
      <c r="D30" t="s">
        <v>554</v>
      </c>
      <c r="E30" t="s">
        <v>613</v>
      </c>
      <c r="F30" t="s">
        <v>140</v>
      </c>
      <c r="G30" t="s">
        <v>20</v>
      </c>
      <c r="H30" t="s">
        <v>21</v>
      </c>
      <c r="I30" t="s">
        <v>212</v>
      </c>
      <c r="J30" t="s">
        <v>610</v>
      </c>
      <c r="K30" t="s">
        <v>73</v>
      </c>
      <c r="L30" t="s">
        <v>102</v>
      </c>
      <c r="M30">
        <v>7.89</v>
      </c>
      <c r="N30">
        <v>1</v>
      </c>
      <c r="O30">
        <v>0</v>
      </c>
      <c r="P30">
        <v>3.5505</v>
      </c>
    </row>
    <row r="31" spans="1:16" x14ac:dyDescent="0.35">
      <c r="A31" t="s">
        <v>408</v>
      </c>
      <c r="B31" s="1">
        <v>42743</v>
      </c>
      <c r="C31" t="s">
        <v>409</v>
      </c>
      <c r="D31" t="s">
        <v>555</v>
      </c>
      <c r="E31" t="s">
        <v>18</v>
      </c>
      <c r="F31" t="s">
        <v>44</v>
      </c>
      <c r="G31" t="s">
        <v>45</v>
      </c>
      <c r="H31" t="s">
        <v>21</v>
      </c>
      <c r="I31" t="s">
        <v>410</v>
      </c>
      <c r="J31" t="s">
        <v>15</v>
      </c>
      <c r="K31" t="s">
        <v>25</v>
      </c>
      <c r="L31" t="s">
        <v>411</v>
      </c>
      <c r="M31">
        <v>892.98</v>
      </c>
      <c r="N31">
        <v>2</v>
      </c>
      <c r="O31">
        <v>0</v>
      </c>
      <c r="P31">
        <v>80.368200000000002</v>
      </c>
    </row>
    <row r="32" spans="1:16" x14ac:dyDescent="0.35">
      <c r="A32" t="s">
        <v>517</v>
      </c>
      <c r="B32" s="1">
        <v>42744</v>
      </c>
      <c r="C32" t="s">
        <v>327</v>
      </c>
      <c r="D32" t="s">
        <v>556</v>
      </c>
      <c r="E32" t="s">
        <v>613</v>
      </c>
      <c r="F32" t="s">
        <v>53</v>
      </c>
      <c r="G32" t="s">
        <v>54</v>
      </c>
      <c r="H32" t="s">
        <v>55</v>
      </c>
      <c r="I32" t="s">
        <v>223</v>
      </c>
      <c r="J32" t="s">
        <v>610</v>
      </c>
      <c r="K32" t="s">
        <v>39</v>
      </c>
      <c r="L32" t="s">
        <v>224</v>
      </c>
      <c r="M32">
        <v>274.49099999999999</v>
      </c>
      <c r="N32">
        <v>3</v>
      </c>
      <c r="O32">
        <v>0.7</v>
      </c>
      <c r="P32">
        <v>-228.74250000000001</v>
      </c>
    </row>
    <row r="33" spans="1:16" x14ac:dyDescent="0.35">
      <c r="A33" t="s">
        <v>372</v>
      </c>
      <c r="B33" s="1">
        <v>42747</v>
      </c>
      <c r="C33" t="s">
        <v>367</v>
      </c>
      <c r="D33" t="s">
        <v>557</v>
      </c>
      <c r="E33" t="s">
        <v>47</v>
      </c>
      <c r="F33" t="s">
        <v>45</v>
      </c>
      <c r="G33" t="s">
        <v>290</v>
      </c>
      <c r="H33" t="s">
        <v>55</v>
      </c>
      <c r="I33" t="s">
        <v>103</v>
      </c>
      <c r="J33" t="s">
        <v>610</v>
      </c>
      <c r="K33" t="s">
        <v>43</v>
      </c>
      <c r="L33" t="s">
        <v>104</v>
      </c>
      <c r="M33">
        <v>40.08</v>
      </c>
      <c r="N33">
        <v>6</v>
      </c>
      <c r="O33">
        <v>0</v>
      </c>
      <c r="P33">
        <v>19.238399999999999</v>
      </c>
    </row>
    <row r="34" spans="1:16" x14ac:dyDescent="0.35">
      <c r="A34" t="s">
        <v>372</v>
      </c>
      <c r="B34" s="1">
        <v>42747</v>
      </c>
      <c r="C34" t="s">
        <v>367</v>
      </c>
      <c r="D34" t="s">
        <v>557</v>
      </c>
      <c r="E34" t="s">
        <v>47</v>
      </c>
      <c r="F34" t="s">
        <v>45</v>
      </c>
      <c r="G34" t="s">
        <v>290</v>
      </c>
      <c r="H34" t="s">
        <v>55</v>
      </c>
      <c r="I34" t="s">
        <v>373</v>
      </c>
      <c r="J34" t="s">
        <v>15</v>
      </c>
      <c r="K34" t="s">
        <v>31</v>
      </c>
      <c r="L34" t="s">
        <v>374</v>
      </c>
      <c r="M34">
        <v>37.68</v>
      </c>
      <c r="N34">
        <v>2</v>
      </c>
      <c r="O34">
        <v>0</v>
      </c>
      <c r="P34">
        <v>15.8256</v>
      </c>
    </row>
    <row r="35" spans="1:16" x14ac:dyDescent="0.35">
      <c r="A35" t="s">
        <v>503</v>
      </c>
      <c r="B35" s="1">
        <v>42747</v>
      </c>
      <c r="C35" t="s">
        <v>261</v>
      </c>
      <c r="D35" t="s">
        <v>558</v>
      </c>
      <c r="E35" t="s">
        <v>18</v>
      </c>
      <c r="F35" t="s">
        <v>50</v>
      </c>
      <c r="G35" t="s">
        <v>20</v>
      </c>
      <c r="H35" t="s">
        <v>21</v>
      </c>
      <c r="I35" t="s">
        <v>376</v>
      </c>
      <c r="J35" t="s">
        <v>610</v>
      </c>
      <c r="K35" t="s">
        <v>63</v>
      </c>
      <c r="L35" t="s">
        <v>113</v>
      </c>
      <c r="M35">
        <v>9.7799999999999994</v>
      </c>
      <c r="N35">
        <v>1</v>
      </c>
      <c r="O35">
        <v>0</v>
      </c>
      <c r="P35">
        <v>4.8899999999999997</v>
      </c>
    </row>
    <row r="36" spans="1:16" x14ac:dyDescent="0.35">
      <c r="A36" t="s">
        <v>532</v>
      </c>
      <c r="B36" s="1">
        <v>42747</v>
      </c>
      <c r="C36" t="s">
        <v>126</v>
      </c>
      <c r="D36" t="s">
        <v>559</v>
      </c>
      <c r="E36" t="s">
        <v>18</v>
      </c>
      <c r="F36" t="s">
        <v>124</v>
      </c>
      <c r="G36" t="s">
        <v>614</v>
      </c>
      <c r="H36" t="s">
        <v>48</v>
      </c>
      <c r="I36" t="s">
        <v>262</v>
      </c>
      <c r="J36" t="s">
        <v>610</v>
      </c>
      <c r="K36" t="s">
        <v>39</v>
      </c>
      <c r="L36" t="s">
        <v>263</v>
      </c>
      <c r="M36">
        <v>760.98</v>
      </c>
      <c r="N36">
        <v>5</v>
      </c>
      <c r="O36">
        <v>0.8</v>
      </c>
      <c r="P36">
        <v>-1141.47</v>
      </c>
    </row>
    <row r="37" spans="1:16" x14ac:dyDescent="0.35">
      <c r="A37" t="s">
        <v>510</v>
      </c>
      <c r="B37" s="1">
        <v>42748</v>
      </c>
      <c r="C37" t="s">
        <v>321</v>
      </c>
      <c r="D37" t="s">
        <v>560</v>
      </c>
      <c r="E37" t="s">
        <v>18</v>
      </c>
      <c r="F37" t="s">
        <v>76</v>
      </c>
      <c r="G37" t="s">
        <v>106</v>
      </c>
      <c r="H37" t="s">
        <v>48</v>
      </c>
      <c r="I37" t="s">
        <v>417</v>
      </c>
      <c r="J37" t="s">
        <v>610</v>
      </c>
      <c r="K37" t="s">
        <v>43</v>
      </c>
      <c r="L37" t="s">
        <v>418</v>
      </c>
      <c r="M37">
        <v>32.4</v>
      </c>
      <c r="N37">
        <v>5</v>
      </c>
      <c r="O37">
        <v>0</v>
      </c>
      <c r="P37">
        <v>15.552</v>
      </c>
    </row>
    <row r="38" spans="1:16" x14ac:dyDescent="0.35">
      <c r="A38" t="s">
        <v>510</v>
      </c>
      <c r="B38" s="1">
        <v>42748</v>
      </c>
      <c r="C38" t="s">
        <v>321</v>
      </c>
      <c r="D38" t="s">
        <v>560</v>
      </c>
      <c r="E38" t="s">
        <v>18</v>
      </c>
      <c r="F38" t="s">
        <v>76</v>
      </c>
      <c r="G38" t="s">
        <v>106</v>
      </c>
      <c r="H38" t="s">
        <v>48</v>
      </c>
      <c r="I38" t="s">
        <v>499</v>
      </c>
      <c r="J38" t="s">
        <v>610</v>
      </c>
      <c r="K38" t="s">
        <v>33</v>
      </c>
      <c r="L38" t="s">
        <v>500</v>
      </c>
      <c r="M38">
        <v>209.94</v>
      </c>
      <c r="N38">
        <v>6</v>
      </c>
      <c r="O38">
        <v>0</v>
      </c>
      <c r="P38">
        <v>54.584400000000002</v>
      </c>
    </row>
    <row r="39" spans="1:16" x14ac:dyDescent="0.35">
      <c r="A39" t="s">
        <v>510</v>
      </c>
      <c r="B39" s="1">
        <v>42748</v>
      </c>
      <c r="C39" t="s">
        <v>321</v>
      </c>
      <c r="D39" t="s">
        <v>560</v>
      </c>
      <c r="E39" t="s">
        <v>18</v>
      </c>
      <c r="F39" t="s">
        <v>76</v>
      </c>
      <c r="G39" t="s">
        <v>106</v>
      </c>
      <c r="H39" t="s">
        <v>48</v>
      </c>
      <c r="I39" t="s">
        <v>198</v>
      </c>
      <c r="J39" t="s">
        <v>610</v>
      </c>
      <c r="K39" t="s">
        <v>105</v>
      </c>
      <c r="L39" t="s">
        <v>199</v>
      </c>
      <c r="M39">
        <v>4164.05</v>
      </c>
      <c r="N39">
        <v>5</v>
      </c>
      <c r="O39">
        <v>0</v>
      </c>
      <c r="P39">
        <v>83.281000000000006</v>
      </c>
    </row>
    <row r="40" spans="1:16" x14ac:dyDescent="0.35">
      <c r="A40" t="s">
        <v>510</v>
      </c>
      <c r="B40" s="1">
        <v>42748</v>
      </c>
      <c r="C40" t="s">
        <v>321</v>
      </c>
      <c r="D40" t="s">
        <v>560</v>
      </c>
      <c r="E40" t="s">
        <v>18</v>
      </c>
      <c r="F40" t="s">
        <v>76</v>
      </c>
      <c r="G40" t="s">
        <v>106</v>
      </c>
      <c r="H40" t="s">
        <v>48</v>
      </c>
      <c r="I40" t="s">
        <v>454</v>
      </c>
      <c r="J40" t="s">
        <v>15</v>
      </c>
      <c r="K40" t="s">
        <v>16</v>
      </c>
      <c r="L40" t="s">
        <v>455</v>
      </c>
      <c r="M40">
        <v>212.94</v>
      </c>
      <c r="N40">
        <v>3</v>
      </c>
      <c r="O40">
        <v>0</v>
      </c>
      <c r="P40">
        <v>53.234999999999999</v>
      </c>
    </row>
    <row r="41" spans="1:16" x14ac:dyDescent="0.35">
      <c r="A41" t="s">
        <v>313</v>
      </c>
      <c r="B41" s="1">
        <v>42749</v>
      </c>
      <c r="C41" t="s">
        <v>222</v>
      </c>
      <c r="D41" t="s">
        <v>561</v>
      </c>
      <c r="E41" t="s">
        <v>613</v>
      </c>
      <c r="F41" t="s">
        <v>163</v>
      </c>
      <c r="G41" t="s">
        <v>42</v>
      </c>
      <c r="H41" t="s">
        <v>14</v>
      </c>
      <c r="I41" t="s">
        <v>96</v>
      </c>
      <c r="J41" t="s">
        <v>610</v>
      </c>
      <c r="K41" t="s">
        <v>63</v>
      </c>
      <c r="L41" t="s">
        <v>97</v>
      </c>
      <c r="M41">
        <v>21.744</v>
      </c>
      <c r="N41">
        <v>1</v>
      </c>
      <c r="O41">
        <v>0.2</v>
      </c>
      <c r="P41">
        <v>7.3385999999999996</v>
      </c>
    </row>
    <row r="42" spans="1:16" x14ac:dyDescent="0.35">
      <c r="A42" t="s">
        <v>313</v>
      </c>
      <c r="B42" s="1">
        <v>42749</v>
      </c>
      <c r="C42" t="s">
        <v>222</v>
      </c>
      <c r="D42" t="s">
        <v>561</v>
      </c>
      <c r="E42" t="s">
        <v>613</v>
      </c>
      <c r="F42" t="s">
        <v>163</v>
      </c>
      <c r="G42" t="s">
        <v>42</v>
      </c>
      <c r="H42" t="s">
        <v>14</v>
      </c>
      <c r="I42" t="s">
        <v>314</v>
      </c>
      <c r="J42" t="s">
        <v>35</v>
      </c>
      <c r="K42" t="s">
        <v>36</v>
      </c>
      <c r="L42" t="s">
        <v>315</v>
      </c>
      <c r="M42">
        <v>7.92</v>
      </c>
      <c r="N42">
        <v>5</v>
      </c>
      <c r="O42">
        <v>0.2</v>
      </c>
      <c r="P42">
        <v>0.69299999999999995</v>
      </c>
    </row>
    <row r="43" spans="1:16" x14ac:dyDescent="0.35">
      <c r="A43" t="s">
        <v>475</v>
      </c>
      <c r="B43" s="1">
        <v>42749</v>
      </c>
      <c r="C43" t="s">
        <v>476</v>
      </c>
      <c r="D43" t="s">
        <v>562</v>
      </c>
      <c r="E43" t="s">
        <v>18</v>
      </c>
      <c r="F43" t="s">
        <v>88</v>
      </c>
      <c r="G43" t="s">
        <v>89</v>
      </c>
      <c r="H43" t="s">
        <v>21</v>
      </c>
      <c r="I43" t="s">
        <v>57</v>
      </c>
      <c r="J43" t="s">
        <v>35</v>
      </c>
      <c r="K43" t="s">
        <v>58</v>
      </c>
      <c r="L43" t="s">
        <v>59</v>
      </c>
      <c r="M43">
        <v>169.06399999999999</v>
      </c>
      <c r="N43">
        <v>7</v>
      </c>
      <c r="O43">
        <v>0.2</v>
      </c>
      <c r="P43">
        <v>-14.793100000000001</v>
      </c>
    </row>
    <row r="44" spans="1:16" x14ac:dyDescent="0.35">
      <c r="A44" t="s">
        <v>475</v>
      </c>
      <c r="B44" s="1">
        <v>42749</v>
      </c>
      <c r="C44" t="s">
        <v>476</v>
      </c>
      <c r="D44" t="s">
        <v>562</v>
      </c>
      <c r="E44" t="s">
        <v>18</v>
      </c>
      <c r="F44" t="s">
        <v>88</v>
      </c>
      <c r="G44" t="s">
        <v>89</v>
      </c>
      <c r="H44" t="s">
        <v>21</v>
      </c>
      <c r="I44" t="s">
        <v>392</v>
      </c>
      <c r="J44" t="s">
        <v>610</v>
      </c>
      <c r="K44" t="s">
        <v>27</v>
      </c>
      <c r="L44" t="s">
        <v>393</v>
      </c>
      <c r="M44">
        <v>168.624</v>
      </c>
      <c r="N44">
        <v>9</v>
      </c>
      <c r="O44">
        <v>0.2</v>
      </c>
      <c r="P44">
        <v>14.7546</v>
      </c>
    </row>
    <row r="45" spans="1:16" x14ac:dyDescent="0.35">
      <c r="A45" t="s">
        <v>483</v>
      </c>
      <c r="B45" s="1">
        <v>42749</v>
      </c>
      <c r="C45" t="s">
        <v>29</v>
      </c>
      <c r="D45" t="s">
        <v>563</v>
      </c>
      <c r="E45" t="s">
        <v>613</v>
      </c>
      <c r="F45" t="s">
        <v>387</v>
      </c>
      <c r="G45" t="s">
        <v>80</v>
      </c>
      <c r="H45" t="s">
        <v>14</v>
      </c>
      <c r="I45" t="s">
        <v>226</v>
      </c>
      <c r="J45" t="s">
        <v>610</v>
      </c>
      <c r="K45" t="s">
        <v>63</v>
      </c>
      <c r="L45" t="s">
        <v>227</v>
      </c>
      <c r="M45">
        <v>18.335999999999999</v>
      </c>
      <c r="N45">
        <v>3</v>
      </c>
      <c r="O45">
        <v>0.2</v>
      </c>
      <c r="P45">
        <v>6.6467999999999998</v>
      </c>
    </row>
    <row r="46" spans="1:16" x14ac:dyDescent="0.35">
      <c r="A46" t="s">
        <v>483</v>
      </c>
      <c r="B46" s="1">
        <v>42749</v>
      </c>
      <c r="C46" t="s">
        <v>29</v>
      </c>
      <c r="D46" t="s">
        <v>563</v>
      </c>
      <c r="E46" t="s">
        <v>613</v>
      </c>
      <c r="F46" t="s">
        <v>387</v>
      </c>
      <c r="G46" t="s">
        <v>80</v>
      </c>
      <c r="H46" t="s">
        <v>14</v>
      </c>
      <c r="I46" t="s">
        <v>272</v>
      </c>
      <c r="J46" t="s">
        <v>610</v>
      </c>
      <c r="K46" t="s">
        <v>43</v>
      </c>
      <c r="L46" t="s">
        <v>273</v>
      </c>
      <c r="M46">
        <v>36.287999999999997</v>
      </c>
      <c r="N46">
        <v>7</v>
      </c>
      <c r="O46">
        <v>0.2</v>
      </c>
      <c r="P46">
        <v>12.700799999999999</v>
      </c>
    </row>
    <row r="47" spans="1:16" x14ac:dyDescent="0.35">
      <c r="A47" t="s">
        <v>483</v>
      </c>
      <c r="B47" s="1">
        <v>42749</v>
      </c>
      <c r="C47" t="s">
        <v>29</v>
      </c>
      <c r="D47" t="s">
        <v>563</v>
      </c>
      <c r="E47" t="s">
        <v>613</v>
      </c>
      <c r="F47" t="s">
        <v>387</v>
      </c>
      <c r="G47" t="s">
        <v>80</v>
      </c>
      <c r="H47" t="s">
        <v>14</v>
      </c>
      <c r="I47" t="s">
        <v>174</v>
      </c>
      <c r="J47" t="s">
        <v>35</v>
      </c>
      <c r="K47" t="s">
        <v>36</v>
      </c>
      <c r="L47" t="s">
        <v>175</v>
      </c>
      <c r="M47">
        <v>111.98399999999999</v>
      </c>
      <c r="N47">
        <v>2</v>
      </c>
      <c r="O47">
        <v>0.2</v>
      </c>
      <c r="P47">
        <v>6.9989999999999997</v>
      </c>
    </row>
    <row r="48" spans="1:16" x14ac:dyDescent="0.35">
      <c r="A48" t="s">
        <v>483</v>
      </c>
      <c r="B48" s="1">
        <v>42749</v>
      </c>
      <c r="C48" t="s">
        <v>29</v>
      </c>
      <c r="D48" t="s">
        <v>563</v>
      </c>
      <c r="E48" t="s">
        <v>613</v>
      </c>
      <c r="F48" t="s">
        <v>387</v>
      </c>
      <c r="G48" t="s">
        <v>80</v>
      </c>
      <c r="H48" t="s">
        <v>14</v>
      </c>
      <c r="I48" t="s">
        <v>430</v>
      </c>
      <c r="J48" t="s">
        <v>610</v>
      </c>
      <c r="K48" t="s">
        <v>39</v>
      </c>
      <c r="L48" t="s">
        <v>431</v>
      </c>
      <c r="M48">
        <v>5.97</v>
      </c>
      <c r="N48">
        <v>5</v>
      </c>
      <c r="O48">
        <v>0.7</v>
      </c>
      <c r="P48">
        <v>-4.577</v>
      </c>
    </row>
    <row r="49" spans="1:16" x14ac:dyDescent="0.35">
      <c r="A49" t="s">
        <v>483</v>
      </c>
      <c r="B49" s="1">
        <v>42749</v>
      </c>
      <c r="C49" t="s">
        <v>29</v>
      </c>
      <c r="D49" t="s">
        <v>563</v>
      </c>
      <c r="E49" t="s">
        <v>613</v>
      </c>
      <c r="F49" t="s">
        <v>387</v>
      </c>
      <c r="G49" t="s">
        <v>80</v>
      </c>
      <c r="H49" t="s">
        <v>14</v>
      </c>
      <c r="I49" t="s">
        <v>297</v>
      </c>
      <c r="J49" t="s">
        <v>610</v>
      </c>
      <c r="K49" t="s">
        <v>39</v>
      </c>
      <c r="L49" t="s">
        <v>298</v>
      </c>
      <c r="M49">
        <v>2.508</v>
      </c>
      <c r="N49">
        <v>2</v>
      </c>
      <c r="O49">
        <v>0.7</v>
      </c>
      <c r="P49">
        <v>-1.8391999999999999</v>
      </c>
    </row>
    <row r="50" spans="1:16" x14ac:dyDescent="0.35">
      <c r="A50" t="s">
        <v>515</v>
      </c>
      <c r="B50" s="1">
        <v>42749</v>
      </c>
      <c r="C50" t="s">
        <v>23</v>
      </c>
      <c r="D50" t="s">
        <v>564</v>
      </c>
      <c r="E50" t="s">
        <v>613</v>
      </c>
      <c r="F50" t="s">
        <v>19</v>
      </c>
      <c r="G50" t="s">
        <v>20</v>
      </c>
      <c r="H50" t="s">
        <v>21</v>
      </c>
      <c r="I50" t="s">
        <v>480</v>
      </c>
      <c r="J50" t="s">
        <v>610</v>
      </c>
      <c r="K50" t="s">
        <v>43</v>
      </c>
      <c r="L50" t="s">
        <v>481</v>
      </c>
      <c r="M50">
        <v>154.9</v>
      </c>
      <c r="N50">
        <v>5</v>
      </c>
      <c r="O50">
        <v>0</v>
      </c>
      <c r="P50">
        <v>69.704999999999998</v>
      </c>
    </row>
    <row r="51" spans="1:16" x14ac:dyDescent="0.35">
      <c r="A51" t="s">
        <v>540</v>
      </c>
      <c r="B51" s="1">
        <v>42749</v>
      </c>
      <c r="C51" t="s">
        <v>294</v>
      </c>
      <c r="D51" t="s">
        <v>565</v>
      </c>
      <c r="E51" t="s">
        <v>47</v>
      </c>
      <c r="F51" t="s">
        <v>160</v>
      </c>
      <c r="G51" t="s">
        <v>70</v>
      </c>
      <c r="H51" t="s">
        <v>48</v>
      </c>
      <c r="I51" t="s">
        <v>109</v>
      </c>
      <c r="J51" t="s">
        <v>610</v>
      </c>
      <c r="K51" t="s">
        <v>27</v>
      </c>
      <c r="L51" t="s">
        <v>110</v>
      </c>
      <c r="M51">
        <v>67.400000000000006</v>
      </c>
      <c r="N51">
        <v>5</v>
      </c>
      <c r="O51">
        <v>0</v>
      </c>
      <c r="P51">
        <v>17.524000000000001</v>
      </c>
    </row>
    <row r="52" spans="1:16" x14ac:dyDescent="0.35">
      <c r="A52" t="s">
        <v>540</v>
      </c>
      <c r="B52" s="1">
        <v>42749</v>
      </c>
      <c r="C52" t="s">
        <v>294</v>
      </c>
      <c r="D52" t="s">
        <v>565</v>
      </c>
      <c r="E52" t="s">
        <v>47</v>
      </c>
      <c r="F52" t="s">
        <v>160</v>
      </c>
      <c r="G52" t="s">
        <v>70</v>
      </c>
      <c r="H52" t="s">
        <v>48</v>
      </c>
      <c r="I52" t="s">
        <v>134</v>
      </c>
      <c r="J52" t="s">
        <v>610</v>
      </c>
      <c r="K52" t="s">
        <v>73</v>
      </c>
      <c r="L52" t="s">
        <v>135</v>
      </c>
      <c r="M52">
        <v>2.52</v>
      </c>
      <c r="N52">
        <v>2</v>
      </c>
      <c r="O52">
        <v>0</v>
      </c>
      <c r="P52">
        <v>0.1008</v>
      </c>
    </row>
    <row r="53" spans="1:16" x14ac:dyDescent="0.35">
      <c r="A53" t="s">
        <v>540</v>
      </c>
      <c r="B53" s="1">
        <v>42749</v>
      </c>
      <c r="C53" t="s">
        <v>294</v>
      </c>
      <c r="D53" t="s">
        <v>565</v>
      </c>
      <c r="E53" t="s">
        <v>47</v>
      </c>
      <c r="F53" t="s">
        <v>160</v>
      </c>
      <c r="G53" t="s">
        <v>70</v>
      </c>
      <c r="H53" t="s">
        <v>48</v>
      </c>
      <c r="I53" t="s">
        <v>353</v>
      </c>
      <c r="J53" t="s">
        <v>35</v>
      </c>
      <c r="K53" t="s">
        <v>36</v>
      </c>
      <c r="L53" t="s">
        <v>354</v>
      </c>
      <c r="M53">
        <v>67.8</v>
      </c>
      <c r="N53">
        <v>4</v>
      </c>
      <c r="O53">
        <v>0</v>
      </c>
      <c r="P53">
        <v>1.3560000000000001</v>
      </c>
    </row>
    <row r="54" spans="1:16" x14ac:dyDescent="0.35">
      <c r="A54" t="s">
        <v>540</v>
      </c>
      <c r="B54" s="1">
        <v>42749</v>
      </c>
      <c r="C54" t="s">
        <v>294</v>
      </c>
      <c r="D54" t="s">
        <v>565</v>
      </c>
      <c r="E54" t="s">
        <v>47</v>
      </c>
      <c r="F54" t="s">
        <v>160</v>
      </c>
      <c r="G54" t="s">
        <v>70</v>
      </c>
      <c r="H54" t="s">
        <v>48</v>
      </c>
      <c r="I54" t="s">
        <v>386</v>
      </c>
      <c r="J54" t="s">
        <v>610</v>
      </c>
      <c r="K54" t="s">
        <v>27</v>
      </c>
      <c r="L54" t="s">
        <v>260</v>
      </c>
      <c r="M54">
        <v>18.760000000000002</v>
      </c>
      <c r="N54">
        <v>2</v>
      </c>
      <c r="O54">
        <v>0</v>
      </c>
      <c r="P54">
        <v>5.2527999999999997</v>
      </c>
    </row>
    <row r="55" spans="1:16" x14ac:dyDescent="0.35">
      <c r="A55" t="s">
        <v>540</v>
      </c>
      <c r="B55" s="1">
        <v>42749</v>
      </c>
      <c r="C55" t="s">
        <v>294</v>
      </c>
      <c r="D55" t="s">
        <v>565</v>
      </c>
      <c r="E55" t="s">
        <v>47</v>
      </c>
      <c r="F55" t="s">
        <v>160</v>
      </c>
      <c r="G55" t="s">
        <v>70</v>
      </c>
      <c r="H55" t="s">
        <v>48</v>
      </c>
      <c r="I55" t="s">
        <v>172</v>
      </c>
      <c r="J55" t="s">
        <v>35</v>
      </c>
      <c r="K55" t="s">
        <v>58</v>
      </c>
      <c r="L55" t="s">
        <v>173</v>
      </c>
      <c r="M55">
        <v>12.12</v>
      </c>
      <c r="N55">
        <v>4</v>
      </c>
      <c r="O55">
        <v>0</v>
      </c>
      <c r="P55">
        <v>2.5451999999999999</v>
      </c>
    </row>
    <row r="56" spans="1:16" x14ac:dyDescent="0.35">
      <c r="A56" t="s">
        <v>540</v>
      </c>
      <c r="B56" s="1">
        <v>42749</v>
      </c>
      <c r="C56" t="s">
        <v>294</v>
      </c>
      <c r="D56" t="s">
        <v>565</v>
      </c>
      <c r="E56" t="s">
        <v>47</v>
      </c>
      <c r="F56" t="s">
        <v>160</v>
      </c>
      <c r="G56" t="s">
        <v>70</v>
      </c>
      <c r="H56" t="s">
        <v>48</v>
      </c>
      <c r="I56" t="s">
        <v>286</v>
      </c>
      <c r="J56" t="s">
        <v>610</v>
      </c>
      <c r="K56" t="s">
        <v>43</v>
      </c>
      <c r="L56" t="s">
        <v>287</v>
      </c>
      <c r="M56">
        <v>11.34</v>
      </c>
      <c r="N56">
        <v>1</v>
      </c>
      <c r="O56">
        <v>0</v>
      </c>
      <c r="P56">
        <v>5.5566000000000004</v>
      </c>
    </row>
    <row r="57" spans="1:16" x14ac:dyDescent="0.35">
      <c r="A57" t="s">
        <v>540</v>
      </c>
      <c r="B57" s="1">
        <v>42749</v>
      </c>
      <c r="C57" t="s">
        <v>294</v>
      </c>
      <c r="D57" t="s">
        <v>565</v>
      </c>
      <c r="E57" t="s">
        <v>47</v>
      </c>
      <c r="F57" t="s">
        <v>160</v>
      </c>
      <c r="G57" t="s">
        <v>70</v>
      </c>
      <c r="H57" t="s">
        <v>48</v>
      </c>
      <c r="I57" t="s">
        <v>130</v>
      </c>
      <c r="J57" t="s">
        <v>35</v>
      </c>
      <c r="K57" t="s">
        <v>58</v>
      </c>
      <c r="L57" t="s">
        <v>131</v>
      </c>
      <c r="M57">
        <v>159.80000000000001</v>
      </c>
      <c r="N57">
        <v>4</v>
      </c>
      <c r="O57">
        <v>0</v>
      </c>
      <c r="P57">
        <v>70.311999999999998</v>
      </c>
    </row>
    <row r="58" spans="1:16" x14ac:dyDescent="0.35">
      <c r="A58" t="s">
        <v>540</v>
      </c>
      <c r="B58" s="1">
        <v>42749</v>
      </c>
      <c r="C58" t="s">
        <v>294</v>
      </c>
      <c r="D58" t="s">
        <v>565</v>
      </c>
      <c r="E58" t="s">
        <v>47</v>
      </c>
      <c r="F58" t="s">
        <v>160</v>
      </c>
      <c r="G58" t="s">
        <v>70</v>
      </c>
      <c r="H58" t="s">
        <v>48</v>
      </c>
      <c r="I58" t="s">
        <v>383</v>
      </c>
      <c r="J58" t="s">
        <v>15</v>
      </c>
      <c r="K58" t="s">
        <v>31</v>
      </c>
      <c r="L58" t="s">
        <v>384</v>
      </c>
      <c r="M58">
        <v>18.96</v>
      </c>
      <c r="N58">
        <v>2</v>
      </c>
      <c r="O58">
        <v>0</v>
      </c>
      <c r="P58">
        <v>8.532</v>
      </c>
    </row>
    <row r="59" spans="1:16" x14ac:dyDescent="0.35">
      <c r="A59" t="s">
        <v>434</v>
      </c>
      <c r="B59" s="1">
        <v>42750</v>
      </c>
      <c r="C59" t="s">
        <v>285</v>
      </c>
      <c r="D59" t="s">
        <v>566</v>
      </c>
      <c r="E59" t="s">
        <v>613</v>
      </c>
      <c r="F59" t="s">
        <v>53</v>
      </c>
      <c r="G59" t="s">
        <v>54</v>
      </c>
      <c r="H59" t="s">
        <v>55</v>
      </c>
      <c r="I59" t="s">
        <v>435</v>
      </c>
      <c r="J59" t="s">
        <v>610</v>
      </c>
      <c r="K59" t="s">
        <v>41</v>
      </c>
      <c r="L59" t="s">
        <v>436</v>
      </c>
      <c r="M59">
        <v>34.384</v>
      </c>
      <c r="N59">
        <v>1</v>
      </c>
      <c r="O59">
        <v>0.2</v>
      </c>
      <c r="P59">
        <v>3.8681999999999999</v>
      </c>
    </row>
    <row r="60" spans="1:16" x14ac:dyDescent="0.35">
      <c r="A60" t="s">
        <v>434</v>
      </c>
      <c r="B60" s="1">
        <v>42750</v>
      </c>
      <c r="C60" t="s">
        <v>285</v>
      </c>
      <c r="D60" t="s">
        <v>566</v>
      </c>
      <c r="E60" t="s">
        <v>613</v>
      </c>
      <c r="F60" t="s">
        <v>53</v>
      </c>
      <c r="G60" t="s">
        <v>54</v>
      </c>
      <c r="H60" t="s">
        <v>55</v>
      </c>
      <c r="I60" t="s">
        <v>127</v>
      </c>
      <c r="J60" t="s">
        <v>610</v>
      </c>
      <c r="K60" t="s">
        <v>41</v>
      </c>
      <c r="L60" t="s">
        <v>128</v>
      </c>
      <c r="M60">
        <v>1924.16</v>
      </c>
      <c r="N60">
        <v>8</v>
      </c>
      <c r="O60">
        <v>0.2</v>
      </c>
      <c r="P60">
        <v>312.67599999999999</v>
      </c>
    </row>
    <row r="61" spans="1:16" x14ac:dyDescent="0.35">
      <c r="A61" t="s">
        <v>465</v>
      </c>
      <c r="B61" s="1">
        <v>42750</v>
      </c>
      <c r="C61" t="s">
        <v>167</v>
      </c>
      <c r="D61" t="s">
        <v>567</v>
      </c>
      <c r="E61" t="s">
        <v>613</v>
      </c>
      <c r="F61" t="s">
        <v>152</v>
      </c>
      <c r="G61" t="s">
        <v>145</v>
      </c>
      <c r="H61" t="s">
        <v>55</v>
      </c>
      <c r="I61" t="s">
        <v>78</v>
      </c>
      <c r="J61" t="s">
        <v>610</v>
      </c>
      <c r="K61" t="s">
        <v>43</v>
      </c>
      <c r="L61" t="s">
        <v>79</v>
      </c>
      <c r="M61">
        <v>12.7</v>
      </c>
      <c r="N61">
        <v>2</v>
      </c>
      <c r="O61">
        <v>0</v>
      </c>
      <c r="P61">
        <v>5.8419999999999996</v>
      </c>
    </row>
    <row r="62" spans="1:16" x14ac:dyDescent="0.35">
      <c r="A62" t="s">
        <v>491</v>
      </c>
      <c r="B62" s="1">
        <v>42750</v>
      </c>
      <c r="C62" t="s">
        <v>355</v>
      </c>
      <c r="D62" t="s">
        <v>568</v>
      </c>
      <c r="E62" t="s">
        <v>47</v>
      </c>
      <c r="F62" t="s">
        <v>19</v>
      </c>
      <c r="G62" t="s">
        <v>20</v>
      </c>
      <c r="H62" t="s">
        <v>21</v>
      </c>
      <c r="I62" t="s">
        <v>350</v>
      </c>
      <c r="J62" t="s">
        <v>610</v>
      </c>
      <c r="K62" t="s">
        <v>33</v>
      </c>
      <c r="L62" t="s">
        <v>351</v>
      </c>
      <c r="M62">
        <v>21.4</v>
      </c>
      <c r="N62">
        <v>5</v>
      </c>
      <c r="O62">
        <v>0</v>
      </c>
      <c r="P62">
        <v>6.2060000000000004</v>
      </c>
    </row>
    <row r="63" spans="1:16" x14ac:dyDescent="0.35">
      <c r="A63" t="s">
        <v>506</v>
      </c>
      <c r="B63" s="1">
        <v>42750</v>
      </c>
      <c r="C63" t="s">
        <v>421</v>
      </c>
      <c r="D63" t="s">
        <v>569</v>
      </c>
      <c r="E63" t="s">
        <v>613</v>
      </c>
      <c r="F63" t="s">
        <v>144</v>
      </c>
      <c r="G63" t="s">
        <v>614</v>
      </c>
      <c r="H63" t="s">
        <v>48</v>
      </c>
      <c r="I63" t="s">
        <v>295</v>
      </c>
      <c r="J63" t="s">
        <v>610</v>
      </c>
      <c r="K63" t="s">
        <v>39</v>
      </c>
      <c r="L63" t="s">
        <v>296</v>
      </c>
      <c r="M63">
        <v>32.783999999999999</v>
      </c>
      <c r="N63">
        <v>4</v>
      </c>
      <c r="O63">
        <v>0.8</v>
      </c>
      <c r="P63">
        <v>-52.4544</v>
      </c>
    </row>
    <row r="64" spans="1:16" x14ac:dyDescent="0.35">
      <c r="A64" t="s">
        <v>506</v>
      </c>
      <c r="B64" s="1">
        <v>42750</v>
      </c>
      <c r="C64" t="s">
        <v>421</v>
      </c>
      <c r="D64" t="s">
        <v>569</v>
      </c>
      <c r="E64" t="s">
        <v>613</v>
      </c>
      <c r="F64" t="s">
        <v>144</v>
      </c>
      <c r="G64" t="s">
        <v>614</v>
      </c>
      <c r="H64" t="s">
        <v>48</v>
      </c>
      <c r="I64" t="s">
        <v>136</v>
      </c>
      <c r="J64" t="s">
        <v>35</v>
      </c>
      <c r="K64" t="s">
        <v>58</v>
      </c>
      <c r="L64" t="s">
        <v>137</v>
      </c>
      <c r="M64">
        <v>47.984000000000002</v>
      </c>
      <c r="N64">
        <v>2</v>
      </c>
      <c r="O64">
        <v>0.2</v>
      </c>
      <c r="P64">
        <v>14.395200000000001</v>
      </c>
    </row>
    <row r="65" spans="1:16" x14ac:dyDescent="0.35">
      <c r="A65" t="s">
        <v>506</v>
      </c>
      <c r="B65" s="1">
        <v>42750</v>
      </c>
      <c r="C65" t="s">
        <v>421</v>
      </c>
      <c r="D65" t="s">
        <v>569</v>
      </c>
      <c r="E65" t="s">
        <v>613</v>
      </c>
      <c r="F65" t="s">
        <v>144</v>
      </c>
      <c r="G65" t="s">
        <v>614</v>
      </c>
      <c r="H65" t="s">
        <v>48</v>
      </c>
      <c r="I65" t="s">
        <v>463</v>
      </c>
      <c r="J65" t="s">
        <v>35</v>
      </c>
      <c r="K65" t="s">
        <v>58</v>
      </c>
      <c r="L65" t="s">
        <v>464</v>
      </c>
      <c r="M65">
        <v>62.591999999999999</v>
      </c>
      <c r="N65">
        <v>8</v>
      </c>
      <c r="O65">
        <v>0.2</v>
      </c>
      <c r="P65">
        <v>13.300800000000001</v>
      </c>
    </row>
    <row r="66" spans="1:16" x14ac:dyDescent="0.35">
      <c r="A66" t="s">
        <v>506</v>
      </c>
      <c r="B66" s="1">
        <v>42750</v>
      </c>
      <c r="C66" t="s">
        <v>421</v>
      </c>
      <c r="D66" t="s">
        <v>569</v>
      </c>
      <c r="E66" t="s">
        <v>613</v>
      </c>
      <c r="F66" t="s">
        <v>144</v>
      </c>
      <c r="G66" t="s">
        <v>614</v>
      </c>
      <c r="H66" t="s">
        <v>48</v>
      </c>
      <c r="I66" t="s">
        <v>168</v>
      </c>
      <c r="J66" t="s">
        <v>610</v>
      </c>
      <c r="K66" t="s">
        <v>39</v>
      </c>
      <c r="L66" t="s">
        <v>169</v>
      </c>
      <c r="M66">
        <v>4.2759999999999998</v>
      </c>
      <c r="N66">
        <v>1</v>
      </c>
      <c r="O66">
        <v>0.8</v>
      </c>
      <c r="P66">
        <v>-6.6277999999999997</v>
      </c>
    </row>
    <row r="67" spans="1:16" x14ac:dyDescent="0.35">
      <c r="A67" t="s">
        <v>493</v>
      </c>
      <c r="B67" s="1">
        <v>42751</v>
      </c>
      <c r="C67" t="s">
        <v>453</v>
      </c>
      <c r="D67" t="s">
        <v>570</v>
      </c>
      <c r="E67" t="s">
        <v>18</v>
      </c>
      <c r="F67" t="s">
        <v>19</v>
      </c>
      <c r="G67" t="s">
        <v>20</v>
      </c>
      <c r="H67" t="s">
        <v>21</v>
      </c>
      <c r="I67" t="s">
        <v>30</v>
      </c>
      <c r="J67" t="s">
        <v>15</v>
      </c>
      <c r="K67" t="s">
        <v>31</v>
      </c>
      <c r="L67" t="s">
        <v>32</v>
      </c>
      <c r="M67">
        <v>27.92</v>
      </c>
      <c r="N67">
        <v>4</v>
      </c>
      <c r="O67">
        <v>0</v>
      </c>
      <c r="P67">
        <v>8.0968</v>
      </c>
    </row>
    <row r="68" spans="1:16" x14ac:dyDescent="0.35">
      <c r="A68" t="s">
        <v>493</v>
      </c>
      <c r="B68" s="1">
        <v>42751</v>
      </c>
      <c r="C68" t="s">
        <v>453</v>
      </c>
      <c r="D68" t="s">
        <v>570</v>
      </c>
      <c r="E68" t="s">
        <v>18</v>
      </c>
      <c r="F68" t="s">
        <v>19</v>
      </c>
      <c r="G68" t="s">
        <v>20</v>
      </c>
      <c r="H68" t="s">
        <v>21</v>
      </c>
      <c r="I68" t="s">
        <v>274</v>
      </c>
      <c r="J68" t="s">
        <v>15</v>
      </c>
      <c r="K68" t="s">
        <v>25</v>
      </c>
      <c r="L68" t="s">
        <v>275</v>
      </c>
      <c r="M68">
        <v>399.67200000000003</v>
      </c>
      <c r="N68">
        <v>7</v>
      </c>
      <c r="O68">
        <v>0.2</v>
      </c>
      <c r="P68">
        <v>-14.9877</v>
      </c>
    </row>
    <row r="69" spans="1:16" x14ac:dyDescent="0.35">
      <c r="A69" t="s">
        <v>507</v>
      </c>
      <c r="B69" s="1">
        <v>42751</v>
      </c>
      <c r="C69" t="s">
        <v>347</v>
      </c>
      <c r="D69" t="s">
        <v>571</v>
      </c>
      <c r="E69" t="s">
        <v>613</v>
      </c>
      <c r="F69" t="s">
        <v>77</v>
      </c>
      <c r="G69" t="s">
        <v>69</v>
      </c>
      <c r="H69" t="s">
        <v>48</v>
      </c>
      <c r="I69" t="s">
        <v>148</v>
      </c>
      <c r="J69" t="s">
        <v>610</v>
      </c>
      <c r="K69" t="s">
        <v>39</v>
      </c>
      <c r="L69" t="s">
        <v>149</v>
      </c>
      <c r="M69">
        <v>5443.96</v>
      </c>
      <c r="N69">
        <v>4</v>
      </c>
      <c r="O69">
        <v>0</v>
      </c>
      <c r="P69">
        <v>2504.2215999999999</v>
      </c>
    </row>
    <row r="70" spans="1:16" x14ac:dyDescent="0.35">
      <c r="A70" t="s">
        <v>507</v>
      </c>
      <c r="B70" s="1">
        <v>42751</v>
      </c>
      <c r="C70" t="s">
        <v>347</v>
      </c>
      <c r="D70" t="s">
        <v>571</v>
      </c>
      <c r="E70" t="s">
        <v>613</v>
      </c>
      <c r="F70" t="s">
        <v>77</v>
      </c>
      <c r="G70" t="s">
        <v>69</v>
      </c>
      <c r="H70" t="s">
        <v>48</v>
      </c>
      <c r="I70" t="s">
        <v>488</v>
      </c>
      <c r="J70" t="s">
        <v>15</v>
      </c>
      <c r="K70" t="s">
        <v>17</v>
      </c>
      <c r="L70" t="s">
        <v>489</v>
      </c>
      <c r="M70">
        <v>302.67</v>
      </c>
      <c r="N70">
        <v>3</v>
      </c>
      <c r="O70">
        <v>0</v>
      </c>
      <c r="P70">
        <v>72.640799999999999</v>
      </c>
    </row>
    <row r="71" spans="1:16" x14ac:dyDescent="0.35">
      <c r="A71" t="s">
        <v>507</v>
      </c>
      <c r="B71" s="1">
        <v>42751</v>
      </c>
      <c r="C71" t="s">
        <v>347</v>
      </c>
      <c r="D71" t="s">
        <v>571</v>
      </c>
      <c r="E71" t="s">
        <v>613</v>
      </c>
      <c r="F71" t="s">
        <v>77</v>
      </c>
      <c r="G71" t="s">
        <v>69</v>
      </c>
      <c r="H71" t="s">
        <v>48</v>
      </c>
      <c r="I71" t="s">
        <v>508</v>
      </c>
      <c r="J71" t="s">
        <v>610</v>
      </c>
      <c r="K71" t="s">
        <v>43</v>
      </c>
      <c r="L71" t="s">
        <v>509</v>
      </c>
      <c r="M71">
        <v>56.07</v>
      </c>
      <c r="N71">
        <v>7</v>
      </c>
      <c r="O71">
        <v>0</v>
      </c>
      <c r="P71">
        <v>25.2315</v>
      </c>
    </row>
    <row r="72" spans="1:16" x14ac:dyDescent="0.35">
      <c r="A72" t="s">
        <v>377</v>
      </c>
      <c r="B72" s="1">
        <v>42754</v>
      </c>
      <c r="C72" t="s">
        <v>249</v>
      </c>
      <c r="D72" t="s">
        <v>572</v>
      </c>
      <c r="E72" t="s">
        <v>613</v>
      </c>
      <c r="F72" t="s">
        <v>378</v>
      </c>
      <c r="G72" t="s">
        <v>614</v>
      </c>
      <c r="H72" t="s">
        <v>48</v>
      </c>
      <c r="I72" t="s">
        <v>379</v>
      </c>
      <c r="J72" t="s">
        <v>610</v>
      </c>
      <c r="K72" t="s">
        <v>22</v>
      </c>
      <c r="L72" t="s">
        <v>380</v>
      </c>
      <c r="M72">
        <v>6</v>
      </c>
      <c r="N72">
        <v>2</v>
      </c>
      <c r="O72">
        <v>0.2</v>
      </c>
      <c r="P72">
        <v>2.1</v>
      </c>
    </row>
    <row r="73" spans="1:16" x14ac:dyDescent="0.35">
      <c r="A73" t="s">
        <v>533</v>
      </c>
      <c r="B73" s="1">
        <v>42754</v>
      </c>
      <c r="C73" t="s">
        <v>364</v>
      </c>
      <c r="D73" t="s">
        <v>573</v>
      </c>
      <c r="E73" t="s">
        <v>613</v>
      </c>
      <c r="F73" t="s">
        <v>53</v>
      </c>
      <c r="G73" t="s">
        <v>54</v>
      </c>
      <c r="H73" t="s">
        <v>55</v>
      </c>
      <c r="I73" t="s">
        <v>368</v>
      </c>
      <c r="J73" t="s">
        <v>35</v>
      </c>
      <c r="K73" t="s">
        <v>36</v>
      </c>
      <c r="L73" t="s">
        <v>369</v>
      </c>
      <c r="M73">
        <v>429.6</v>
      </c>
      <c r="N73">
        <v>2</v>
      </c>
      <c r="O73">
        <v>0.4</v>
      </c>
      <c r="P73">
        <v>-93.08</v>
      </c>
    </row>
    <row r="74" spans="1:16" x14ac:dyDescent="0.35">
      <c r="A74" t="s">
        <v>533</v>
      </c>
      <c r="B74" s="1">
        <v>42754</v>
      </c>
      <c r="C74" t="s">
        <v>364</v>
      </c>
      <c r="D74" t="s">
        <v>573</v>
      </c>
      <c r="E74" t="s">
        <v>613</v>
      </c>
      <c r="F74" t="s">
        <v>53</v>
      </c>
      <c r="G74" t="s">
        <v>54</v>
      </c>
      <c r="H74" t="s">
        <v>55</v>
      </c>
      <c r="I74" t="s">
        <v>220</v>
      </c>
      <c r="J74" t="s">
        <v>15</v>
      </c>
      <c r="K74" t="s">
        <v>31</v>
      </c>
      <c r="L74" t="s">
        <v>221</v>
      </c>
      <c r="M74">
        <v>31.968</v>
      </c>
      <c r="N74">
        <v>2</v>
      </c>
      <c r="O74">
        <v>0.2</v>
      </c>
      <c r="P74">
        <v>6.3936000000000002</v>
      </c>
    </row>
    <row r="75" spans="1:16" x14ac:dyDescent="0.35">
      <c r="A75" t="s">
        <v>533</v>
      </c>
      <c r="B75" s="1">
        <v>42754</v>
      </c>
      <c r="C75" t="s">
        <v>364</v>
      </c>
      <c r="D75" t="s">
        <v>573</v>
      </c>
      <c r="E75" t="s">
        <v>613</v>
      </c>
      <c r="F75" t="s">
        <v>53</v>
      </c>
      <c r="G75" t="s">
        <v>54</v>
      </c>
      <c r="H75" t="s">
        <v>55</v>
      </c>
      <c r="I75" t="s">
        <v>292</v>
      </c>
      <c r="J75" t="s">
        <v>15</v>
      </c>
      <c r="K75" t="s">
        <v>17</v>
      </c>
      <c r="L75" t="s">
        <v>293</v>
      </c>
      <c r="M75">
        <v>887.27099999999996</v>
      </c>
      <c r="N75">
        <v>3</v>
      </c>
      <c r="O75">
        <v>0.3</v>
      </c>
      <c r="P75">
        <v>-63.3765</v>
      </c>
    </row>
    <row r="76" spans="1:16" x14ac:dyDescent="0.35">
      <c r="A76" t="s">
        <v>533</v>
      </c>
      <c r="B76" s="1">
        <v>42754</v>
      </c>
      <c r="C76" t="s">
        <v>364</v>
      </c>
      <c r="D76" t="s">
        <v>573</v>
      </c>
      <c r="E76" t="s">
        <v>613</v>
      </c>
      <c r="F76" t="s">
        <v>53</v>
      </c>
      <c r="G76" t="s">
        <v>54</v>
      </c>
      <c r="H76" t="s">
        <v>55</v>
      </c>
      <c r="I76" t="s">
        <v>340</v>
      </c>
      <c r="J76" t="s">
        <v>610</v>
      </c>
      <c r="K76" t="s">
        <v>43</v>
      </c>
      <c r="L76" t="s">
        <v>341</v>
      </c>
      <c r="M76">
        <v>21.696000000000002</v>
      </c>
      <c r="N76">
        <v>4</v>
      </c>
      <c r="O76">
        <v>0.2</v>
      </c>
      <c r="P76">
        <v>7.0511999999999997</v>
      </c>
    </row>
    <row r="77" spans="1:16" x14ac:dyDescent="0.35">
      <c r="A77" t="s">
        <v>534</v>
      </c>
      <c r="B77" s="1">
        <v>42754</v>
      </c>
      <c r="C77" t="s">
        <v>370</v>
      </c>
      <c r="D77" t="s">
        <v>574</v>
      </c>
      <c r="E77" t="s">
        <v>613</v>
      </c>
      <c r="F77" t="s">
        <v>225</v>
      </c>
      <c r="G77" t="s">
        <v>404</v>
      </c>
      <c r="H77" t="s">
        <v>55</v>
      </c>
      <c r="I77" t="s">
        <v>157</v>
      </c>
      <c r="J77" t="s">
        <v>610</v>
      </c>
      <c r="K77" t="s">
        <v>43</v>
      </c>
      <c r="L77" t="s">
        <v>158</v>
      </c>
      <c r="M77">
        <v>79.92</v>
      </c>
      <c r="N77">
        <v>4</v>
      </c>
      <c r="O77">
        <v>0</v>
      </c>
      <c r="P77">
        <v>37.562399999999997</v>
      </c>
    </row>
    <row r="78" spans="1:16" x14ac:dyDescent="0.35">
      <c r="A78" t="s">
        <v>534</v>
      </c>
      <c r="B78" s="1">
        <v>42754</v>
      </c>
      <c r="C78" t="s">
        <v>370</v>
      </c>
      <c r="D78" t="s">
        <v>574</v>
      </c>
      <c r="E78" t="s">
        <v>613</v>
      </c>
      <c r="F78" t="s">
        <v>225</v>
      </c>
      <c r="G78" t="s">
        <v>404</v>
      </c>
      <c r="H78" t="s">
        <v>55</v>
      </c>
      <c r="I78" t="s">
        <v>146</v>
      </c>
      <c r="J78" t="s">
        <v>610</v>
      </c>
      <c r="K78" t="s">
        <v>43</v>
      </c>
      <c r="L78" t="s">
        <v>147</v>
      </c>
      <c r="M78">
        <v>12.28</v>
      </c>
      <c r="N78">
        <v>1</v>
      </c>
      <c r="O78">
        <v>0</v>
      </c>
      <c r="P78">
        <v>5.7716000000000003</v>
      </c>
    </row>
    <row r="79" spans="1:16" x14ac:dyDescent="0.35">
      <c r="A79" t="s">
        <v>534</v>
      </c>
      <c r="B79" s="1">
        <v>42754</v>
      </c>
      <c r="C79" t="s">
        <v>370</v>
      </c>
      <c r="D79" t="s">
        <v>574</v>
      </c>
      <c r="E79" t="s">
        <v>613</v>
      </c>
      <c r="F79" t="s">
        <v>225</v>
      </c>
      <c r="G79" t="s">
        <v>404</v>
      </c>
      <c r="H79" t="s">
        <v>55</v>
      </c>
      <c r="I79" t="s">
        <v>365</v>
      </c>
      <c r="J79" t="s">
        <v>610</v>
      </c>
      <c r="K79" t="s">
        <v>41</v>
      </c>
      <c r="L79" t="s">
        <v>366</v>
      </c>
      <c r="M79">
        <v>542.94000000000005</v>
      </c>
      <c r="N79">
        <v>3</v>
      </c>
      <c r="O79">
        <v>0</v>
      </c>
      <c r="P79">
        <v>152.0232</v>
      </c>
    </row>
    <row r="80" spans="1:16" x14ac:dyDescent="0.35">
      <c r="A80" t="s">
        <v>534</v>
      </c>
      <c r="B80" s="1">
        <v>42754</v>
      </c>
      <c r="C80" t="s">
        <v>370</v>
      </c>
      <c r="D80" t="s">
        <v>574</v>
      </c>
      <c r="E80" t="s">
        <v>613</v>
      </c>
      <c r="F80" t="s">
        <v>225</v>
      </c>
      <c r="G80" t="s">
        <v>404</v>
      </c>
      <c r="H80" t="s">
        <v>55</v>
      </c>
      <c r="I80" t="s">
        <v>62</v>
      </c>
      <c r="J80" t="s">
        <v>610</v>
      </c>
      <c r="K80" t="s">
        <v>63</v>
      </c>
      <c r="L80" t="s">
        <v>64</v>
      </c>
      <c r="M80">
        <v>2.04</v>
      </c>
      <c r="N80">
        <v>1</v>
      </c>
      <c r="O80">
        <v>0</v>
      </c>
      <c r="P80">
        <v>0.95879999999999999</v>
      </c>
    </row>
    <row r="81" spans="1:16" x14ac:dyDescent="0.35">
      <c r="A81" t="s">
        <v>164</v>
      </c>
      <c r="B81" s="1">
        <v>42755</v>
      </c>
      <c r="C81" t="s">
        <v>92</v>
      </c>
      <c r="D81" t="s">
        <v>575</v>
      </c>
      <c r="E81" t="s">
        <v>18</v>
      </c>
      <c r="F81" t="s">
        <v>71</v>
      </c>
      <c r="G81" t="s">
        <v>72</v>
      </c>
      <c r="H81" t="s">
        <v>55</v>
      </c>
      <c r="I81" t="s">
        <v>165</v>
      </c>
      <c r="J81" t="s">
        <v>15</v>
      </c>
      <c r="K81" t="s">
        <v>17</v>
      </c>
      <c r="L81" t="s">
        <v>166</v>
      </c>
      <c r="M81">
        <v>207.846</v>
      </c>
      <c r="N81">
        <v>3</v>
      </c>
      <c r="O81">
        <v>0.1</v>
      </c>
      <c r="P81">
        <v>2.3094000000000001</v>
      </c>
    </row>
    <row r="82" spans="1:16" x14ac:dyDescent="0.35">
      <c r="A82" t="s">
        <v>360</v>
      </c>
      <c r="B82" s="1">
        <v>42755</v>
      </c>
      <c r="C82" t="s">
        <v>361</v>
      </c>
      <c r="D82" t="s">
        <v>576</v>
      </c>
      <c r="E82" t="s">
        <v>613</v>
      </c>
      <c r="F82" t="s">
        <v>19</v>
      </c>
      <c r="G82" t="s">
        <v>20</v>
      </c>
      <c r="H82" t="s">
        <v>21</v>
      </c>
      <c r="I82" t="s">
        <v>362</v>
      </c>
      <c r="J82" t="s">
        <v>35</v>
      </c>
      <c r="K82" t="s">
        <v>36</v>
      </c>
      <c r="L82" t="s">
        <v>363</v>
      </c>
      <c r="M82">
        <v>160.77600000000001</v>
      </c>
      <c r="N82">
        <v>3</v>
      </c>
      <c r="O82">
        <v>0.2</v>
      </c>
      <c r="P82">
        <v>10.048500000000001</v>
      </c>
    </row>
    <row r="83" spans="1:16" x14ac:dyDescent="0.35">
      <c r="A83" t="s">
        <v>413</v>
      </c>
      <c r="B83" s="1">
        <v>42755</v>
      </c>
      <c r="C83" t="s">
        <v>414</v>
      </c>
      <c r="D83" t="s">
        <v>577</v>
      </c>
      <c r="E83" t="s">
        <v>613</v>
      </c>
      <c r="F83" t="s">
        <v>50</v>
      </c>
      <c r="G83" t="s">
        <v>20</v>
      </c>
      <c r="H83" t="s">
        <v>21</v>
      </c>
      <c r="I83" t="s">
        <v>375</v>
      </c>
      <c r="J83" t="s">
        <v>610</v>
      </c>
      <c r="K83" t="s">
        <v>33</v>
      </c>
      <c r="L83" t="s">
        <v>291</v>
      </c>
      <c r="M83">
        <v>24.2</v>
      </c>
      <c r="N83">
        <v>5</v>
      </c>
      <c r="O83">
        <v>0</v>
      </c>
      <c r="P83">
        <v>7.9859999999999998</v>
      </c>
    </row>
    <row r="84" spans="1:16" x14ac:dyDescent="0.35">
      <c r="A84" t="s">
        <v>413</v>
      </c>
      <c r="B84" s="1">
        <v>42755</v>
      </c>
      <c r="C84" t="s">
        <v>414</v>
      </c>
      <c r="D84" t="s">
        <v>577</v>
      </c>
      <c r="E84" t="s">
        <v>613</v>
      </c>
      <c r="F84" t="s">
        <v>50</v>
      </c>
      <c r="G84" t="s">
        <v>20</v>
      </c>
      <c r="H84" t="s">
        <v>21</v>
      </c>
      <c r="I84" t="s">
        <v>415</v>
      </c>
      <c r="J84" t="s">
        <v>35</v>
      </c>
      <c r="K84" t="s">
        <v>36</v>
      </c>
      <c r="L84" t="s">
        <v>416</v>
      </c>
      <c r="M84">
        <v>359.976</v>
      </c>
      <c r="N84">
        <v>3</v>
      </c>
      <c r="O84">
        <v>0.2</v>
      </c>
      <c r="P84">
        <v>130.4913</v>
      </c>
    </row>
    <row r="85" spans="1:16" x14ac:dyDescent="0.35">
      <c r="A85" t="s">
        <v>494</v>
      </c>
      <c r="B85" s="1">
        <v>42755</v>
      </c>
      <c r="C85" t="s">
        <v>201</v>
      </c>
      <c r="D85" t="s">
        <v>578</v>
      </c>
      <c r="E85" t="s">
        <v>613</v>
      </c>
      <c r="F85" t="s">
        <v>479</v>
      </c>
      <c r="G85" t="s">
        <v>119</v>
      </c>
      <c r="H85" t="s">
        <v>55</v>
      </c>
      <c r="I85" t="s">
        <v>305</v>
      </c>
      <c r="J85" t="s">
        <v>610</v>
      </c>
      <c r="K85" t="s">
        <v>33</v>
      </c>
      <c r="L85" t="s">
        <v>306</v>
      </c>
      <c r="M85">
        <v>3.52</v>
      </c>
      <c r="N85">
        <v>2</v>
      </c>
      <c r="O85">
        <v>0</v>
      </c>
      <c r="P85">
        <v>1.0207999999999999</v>
      </c>
    </row>
    <row r="86" spans="1:16" x14ac:dyDescent="0.35">
      <c r="A86" t="s">
        <v>520</v>
      </c>
      <c r="B86" s="1">
        <v>42755</v>
      </c>
      <c r="C86" t="s">
        <v>402</v>
      </c>
      <c r="D86" t="s">
        <v>579</v>
      </c>
      <c r="E86" t="s">
        <v>613</v>
      </c>
      <c r="F86" t="s">
        <v>74</v>
      </c>
      <c r="G86" t="s">
        <v>66</v>
      </c>
      <c r="H86" t="s">
        <v>48</v>
      </c>
      <c r="I86" t="s">
        <v>278</v>
      </c>
      <c r="J86" t="s">
        <v>610</v>
      </c>
      <c r="K86" t="s">
        <v>22</v>
      </c>
      <c r="L86" t="s">
        <v>279</v>
      </c>
      <c r="M86">
        <v>11.52</v>
      </c>
      <c r="N86">
        <v>5</v>
      </c>
      <c r="O86">
        <v>0.2</v>
      </c>
      <c r="P86">
        <v>4.1760000000000002</v>
      </c>
    </row>
    <row r="87" spans="1:16" x14ac:dyDescent="0.35">
      <c r="A87" t="s">
        <v>228</v>
      </c>
      <c r="B87" s="1">
        <v>42756</v>
      </c>
      <c r="C87" t="s">
        <v>229</v>
      </c>
      <c r="D87" t="s">
        <v>580</v>
      </c>
      <c r="E87" t="s">
        <v>47</v>
      </c>
      <c r="F87" t="s">
        <v>44</v>
      </c>
      <c r="G87" t="s">
        <v>45</v>
      </c>
      <c r="H87" t="s">
        <v>21</v>
      </c>
      <c r="I87" t="s">
        <v>194</v>
      </c>
      <c r="J87" t="s">
        <v>610</v>
      </c>
      <c r="K87" t="s">
        <v>27</v>
      </c>
      <c r="L87" t="s">
        <v>195</v>
      </c>
      <c r="M87">
        <v>242.94</v>
      </c>
      <c r="N87">
        <v>3</v>
      </c>
      <c r="O87">
        <v>0</v>
      </c>
      <c r="P87">
        <v>9.7175999999999991</v>
      </c>
    </row>
    <row r="88" spans="1:16" x14ac:dyDescent="0.35">
      <c r="A88" t="s">
        <v>228</v>
      </c>
      <c r="B88" s="1">
        <v>42756</v>
      </c>
      <c r="C88" t="s">
        <v>229</v>
      </c>
      <c r="D88" t="s">
        <v>580</v>
      </c>
      <c r="E88" t="s">
        <v>47</v>
      </c>
      <c r="F88" t="s">
        <v>44</v>
      </c>
      <c r="G88" t="s">
        <v>45</v>
      </c>
      <c r="H88" t="s">
        <v>21</v>
      </c>
      <c r="I88" t="s">
        <v>230</v>
      </c>
      <c r="J88" t="s">
        <v>35</v>
      </c>
      <c r="K88" t="s">
        <v>58</v>
      </c>
      <c r="L88" t="s">
        <v>231</v>
      </c>
      <c r="M88">
        <v>179.97</v>
      </c>
      <c r="N88">
        <v>3</v>
      </c>
      <c r="O88">
        <v>0</v>
      </c>
      <c r="P88">
        <v>86.385599999999997</v>
      </c>
    </row>
    <row r="89" spans="1:16" x14ac:dyDescent="0.35">
      <c r="A89" t="s">
        <v>228</v>
      </c>
      <c r="B89" s="1">
        <v>42756</v>
      </c>
      <c r="C89" t="s">
        <v>229</v>
      </c>
      <c r="D89" t="s">
        <v>580</v>
      </c>
      <c r="E89" t="s">
        <v>47</v>
      </c>
      <c r="F89" t="s">
        <v>44</v>
      </c>
      <c r="G89" t="s">
        <v>45</v>
      </c>
      <c r="H89" t="s">
        <v>21</v>
      </c>
      <c r="I89" t="s">
        <v>154</v>
      </c>
      <c r="J89" t="s">
        <v>610</v>
      </c>
      <c r="K89" t="s">
        <v>39</v>
      </c>
      <c r="L89" t="s">
        <v>155</v>
      </c>
      <c r="M89">
        <v>99.695999999999998</v>
      </c>
      <c r="N89">
        <v>6</v>
      </c>
      <c r="O89">
        <v>0.2</v>
      </c>
      <c r="P89">
        <v>33.647399999999998</v>
      </c>
    </row>
    <row r="90" spans="1:16" x14ac:dyDescent="0.35">
      <c r="A90" t="s">
        <v>228</v>
      </c>
      <c r="B90" s="1">
        <v>42756</v>
      </c>
      <c r="C90" t="s">
        <v>229</v>
      </c>
      <c r="D90" t="s">
        <v>580</v>
      </c>
      <c r="E90" t="s">
        <v>47</v>
      </c>
      <c r="F90" t="s">
        <v>44</v>
      </c>
      <c r="G90" t="s">
        <v>45</v>
      </c>
      <c r="H90" t="s">
        <v>21</v>
      </c>
      <c r="I90" t="s">
        <v>67</v>
      </c>
      <c r="J90" t="s">
        <v>610</v>
      </c>
      <c r="K90" t="s">
        <v>39</v>
      </c>
      <c r="L90" t="s">
        <v>68</v>
      </c>
      <c r="M90">
        <v>27.936</v>
      </c>
      <c r="N90">
        <v>4</v>
      </c>
      <c r="O90">
        <v>0.2</v>
      </c>
      <c r="P90">
        <v>9.4283999999999999</v>
      </c>
    </row>
    <row r="91" spans="1:16" x14ac:dyDescent="0.35">
      <c r="A91" t="s">
        <v>228</v>
      </c>
      <c r="B91" s="1">
        <v>42756</v>
      </c>
      <c r="C91" t="s">
        <v>229</v>
      </c>
      <c r="D91" t="s">
        <v>580</v>
      </c>
      <c r="E91" t="s">
        <v>47</v>
      </c>
      <c r="F91" t="s">
        <v>44</v>
      </c>
      <c r="G91" t="s">
        <v>45</v>
      </c>
      <c r="H91" t="s">
        <v>21</v>
      </c>
      <c r="I91" t="s">
        <v>232</v>
      </c>
      <c r="J91" t="s">
        <v>15</v>
      </c>
      <c r="K91" t="s">
        <v>16</v>
      </c>
      <c r="L91" t="s">
        <v>233</v>
      </c>
      <c r="M91">
        <v>84.98</v>
      </c>
      <c r="N91">
        <v>1</v>
      </c>
      <c r="O91">
        <v>0</v>
      </c>
      <c r="P91">
        <v>18.695599999999999</v>
      </c>
    </row>
    <row r="92" spans="1:16" x14ac:dyDescent="0.35">
      <c r="A92" t="s">
        <v>228</v>
      </c>
      <c r="B92" s="1">
        <v>42756</v>
      </c>
      <c r="C92" t="s">
        <v>229</v>
      </c>
      <c r="D92" t="s">
        <v>580</v>
      </c>
      <c r="E92" t="s">
        <v>47</v>
      </c>
      <c r="F92" t="s">
        <v>44</v>
      </c>
      <c r="G92" t="s">
        <v>45</v>
      </c>
      <c r="H92" t="s">
        <v>21</v>
      </c>
      <c r="I92" t="s">
        <v>234</v>
      </c>
      <c r="J92" t="s">
        <v>610</v>
      </c>
      <c r="K92" t="s">
        <v>39</v>
      </c>
      <c r="L92" t="s">
        <v>235</v>
      </c>
      <c r="M92">
        <v>18.72</v>
      </c>
      <c r="N92">
        <v>5</v>
      </c>
      <c r="O92">
        <v>0.2</v>
      </c>
      <c r="P92">
        <v>6.5519999999999996</v>
      </c>
    </row>
    <row r="93" spans="1:16" x14ac:dyDescent="0.35">
      <c r="A93" t="s">
        <v>299</v>
      </c>
      <c r="B93" s="1">
        <v>42756</v>
      </c>
      <c r="C93" t="s">
        <v>300</v>
      </c>
      <c r="D93" t="s">
        <v>581</v>
      </c>
      <c r="E93" t="s">
        <v>47</v>
      </c>
      <c r="F93" t="s">
        <v>91</v>
      </c>
      <c r="G93" t="s">
        <v>42</v>
      </c>
      <c r="H93" t="s">
        <v>14</v>
      </c>
      <c r="I93" t="s">
        <v>301</v>
      </c>
      <c r="J93" t="s">
        <v>610</v>
      </c>
      <c r="K93" t="s">
        <v>27</v>
      </c>
      <c r="L93" t="s">
        <v>302</v>
      </c>
      <c r="M93">
        <v>348.20800000000003</v>
      </c>
      <c r="N93">
        <v>7</v>
      </c>
      <c r="O93">
        <v>0.2</v>
      </c>
      <c r="P93">
        <v>30.4682</v>
      </c>
    </row>
    <row r="94" spans="1:16" x14ac:dyDescent="0.35">
      <c r="A94" t="s">
        <v>299</v>
      </c>
      <c r="B94" s="1">
        <v>42756</v>
      </c>
      <c r="C94" t="s">
        <v>300</v>
      </c>
      <c r="D94" t="s">
        <v>581</v>
      </c>
      <c r="E94" t="s">
        <v>47</v>
      </c>
      <c r="F94" t="s">
        <v>91</v>
      </c>
      <c r="G94" t="s">
        <v>42</v>
      </c>
      <c r="H94" t="s">
        <v>14</v>
      </c>
      <c r="I94" t="s">
        <v>303</v>
      </c>
      <c r="J94" t="s">
        <v>610</v>
      </c>
      <c r="K94" t="s">
        <v>39</v>
      </c>
      <c r="L94" t="s">
        <v>304</v>
      </c>
      <c r="M94">
        <v>35.783999999999999</v>
      </c>
      <c r="N94">
        <v>7</v>
      </c>
      <c r="O94">
        <v>0.7</v>
      </c>
      <c r="P94">
        <v>-28.627199999999998</v>
      </c>
    </row>
    <row r="95" spans="1:16" x14ac:dyDescent="0.35">
      <c r="A95" t="s">
        <v>423</v>
      </c>
      <c r="B95" s="1">
        <v>42756</v>
      </c>
      <c r="C95" t="s">
        <v>316</v>
      </c>
      <c r="D95" t="s">
        <v>582</v>
      </c>
      <c r="E95" t="s">
        <v>47</v>
      </c>
      <c r="F95" t="s">
        <v>77</v>
      </c>
      <c r="G95" t="s">
        <v>69</v>
      </c>
      <c r="H95" t="s">
        <v>48</v>
      </c>
      <c r="I95" t="s">
        <v>236</v>
      </c>
      <c r="J95" t="s">
        <v>610</v>
      </c>
      <c r="K95" t="s">
        <v>39</v>
      </c>
      <c r="L95" t="s">
        <v>237</v>
      </c>
      <c r="M95">
        <v>14.4</v>
      </c>
      <c r="N95">
        <v>5</v>
      </c>
      <c r="O95">
        <v>0</v>
      </c>
      <c r="P95">
        <v>7.056</v>
      </c>
    </row>
    <row r="96" spans="1:16" x14ac:dyDescent="0.35">
      <c r="A96" t="s">
        <v>423</v>
      </c>
      <c r="B96" s="1">
        <v>42756</v>
      </c>
      <c r="C96" t="s">
        <v>316</v>
      </c>
      <c r="D96" t="s">
        <v>582</v>
      </c>
      <c r="E96" t="s">
        <v>47</v>
      </c>
      <c r="F96" t="s">
        <v>77</v>
      </c>
      <c r="G96" t="s">
        <v>69</v>
      </c>
      <c r="H96" t="s">
        <v>48</v>
      </c>
      <c r="I96" t="s">
        <v>264</v>
      </c>
      <c r="J96" t="s">
        <v>35</v>
      </c>
      <c r="K96" t="s">
        <v>58</v>
      </c>
      <c r="L96" t="s">
        <v>265</v>
      </c>
      <c r="M96">
        <v>619.95000000000005</v>
      </c>
      <c r="N96">
        <v>5</v>
      </c>
      <c r="O96">
        <v>0</v>
      </c>
      <c r="P96">
        <v>111.59099999999999</v>
      </c>
    </row>
    <row r="97" spans="1:16" x14ac:dyDescent="0.35">
      <c r="A97" t="s">
        <v>423</v>
      </c>
      <c r="B97" s="1">
        <v>42756</v>
      </c>
      <c r="C97" t="s">
        <v>316</v>
      </c>
      <c r="D97" t="s">
        <v>582</v>
      </c>
      <c r="E97" t="s">
        <v>47</v>
      </c>
      <c r="F97" t="s">
        <v>77</v>
      </c>
      <c r="G97" t="s">
        <v>69</v>
      </c>
      <c r="H97" t="s">
        <v>48</v>
      </c>
      <c r="I97" t="s">
        <v>424</v>
      </c>
      <c r="J97" t="s">
        <v>610</v>
      </c>
      <c r="K97" t="s">
        <v>39</v>
      </c>
      <c r="L97" t="s">
        <v>425</v>
      </c>
      <c r="M97">
        <v>89.52</v>
      </c>
      <c r="N97">
        <v>4</v>
      </c>
      <c r="O97">
        <v>0</v>
      </c>
      <c r="P97">
        <v>42.074399999999997</v>
      </c>
    </row>
    <row r="98" spans="1:16" x14ac:dyDescent="0.35">
      <c r="A98" t="s">
        <v>423</v>
      </c>
      <c r="B98" s="1">
        <v>42756</v>
      </c>
      <c r="C98" t="s">
        <v>316</v>
      </c>
      <c r="D98" t="s">
        <v>582</v>
      </c>
      <c r="E98" t="s">
        <v>47</v>
      </c>
      <c r="F98" t="s">
        <v>77</v>
      </c>
      <c r="G98" t="s">
        <v>69</v>
      </c>
      <c r="H98" t="s">
        <v>48</v>
      </c>
      <c r="I98" t="s">
        <v>426</v>
      </c>
      <c r="J98" t="s">
        <v>35</v>
      </c>
      <c r="K98" t="s">
        <v>115</v>
      </c>
      <c r="L98" t="s">
        <v>427</v>
      </c>
      <c r="M98">
        <v>350.97300000000001</v>
      </c>
      <c r="N98">
        <v>3</v>
      </c>
      <c r="O98">
        <v>0.1</v>
      </c>
      <c r="P98">
        <v>152.0883</v>
      </c>
    </row>
    <row r="99" spans="1:16" x14ac:dyDescent="0.35">
      <c r="A99" t="s">
        <v>423</v>
      </c>
      <c r="B99" s="1">
        <v>42756</v>
      </c>
      <c r="C99" t="s">
        <v>316</v>
      </c>
      <c r="D99" t="s">
        <v>582</v>
      </c>
      <c r="E99" t="s">
        <v>47</v>
      </c>
      <c r="F99" t="s">
        <v>77</v>
      </c>
      <c r="G99" t="s">
        <v>69</v>
      </c>
      <c r="H99" t="s">
        <v>48</v>
      </c>
      <c r="I99" t="s">
        <v>428</v>
      </c>
      <c r="J99" t="s">
        <v>35</v>
      </c>
      <c r="K99" t="s">
        <v>36</v>
      </c>
      <c r="L99" t="s">
        <v>429</v>
      </c>
      <c r="M99">
        <v>164.99</v>
      </c>
      <c r="N99">
        <v>1</v>
      </c>
      <c r="O99">
        <v>0</v>
      </c>
      <c r="P99">
        <v>49.497</v>
      </c>
    </row>
    <row r="100" spans="1:16" x14ac:dyDescent="0.35">
      <c r="A100" t="s">
        <v>539</v>
      </c>
      <c r="B100" s="1">
        <v>42756</v>
      </c>
      <c r="C100" t="s">
        <v>432</v>
      </c>
      <c r="D100" t="s">
        <v>583</v>
      </c>
      <c r="E100" t="s">
        <v>613</v>
      </c>
      <c r="F100" t="s">
        <v>88</v>
      </c>
      <c r="G100" t="s">
        <v>66</v>
      </c>
      <c r="H100" t="s">
        <v>48</v>
      </c>
      <c r="I100" t="s">
        <v>213</v>
      </c>
      <c r="J100" t="s">
        <v>610</v>
      </c>
      <c r="K100" t="s">
        <v>63</v>
      </c>
      <c r="L100" t="s">
        <v>214</v>
      </c>
      <c r="M100">
        <v>268.57600000000002</v>
      </c>
      <c r="N100">
        <v>4</v>
      </c>
      <c r="O100">
        <v>0.2</v>
      </c>
      <c r="P100">
        <v>90.644400000000005</v>
      </c>
    </row>
    <row r="101" spans="1:16" x14ac:dyDescent="0.35">
      <c r="A101" t="s">
        <v>183</v>
      </c>
      <c r="B101" s="1">
        <v>42757</v>
      </c>
      <c r="C101" t="s">
        <v>101</v>
      </c>
      <c r="D101" t="s">
        <v>584</v>
      </c>
      <c r="E101" t="s">
        <v>47</v>
      </c>
      <c r="F101" t="s">
        <v>184</v>
      </c>
      <c r="G101" t="s">
        <v>185</v>
      </c>
      <c r="H101" t="s">
        <v>21</v>
      </c>
      <c r="I101" t="s">
        <v>186</v>
      </c>
      <c r="J101" t="s">
        <v>35</v>
      </c>
      <c r="K101" t="s">
        <v>143</v>
      </c>
      <c r="L101" t="s">
        <v>187</v>
      </c>
      <c r="M101">
        <v>2999.95</v>
      </c>
      <c r="N101">
        <v>5</v>
      </c>
      <c r="O101">
        <v>0</v>
      </c>
      <c r="P101">
        <v>1379.9770000000001</v>
      </c>
    </row>
    <row r="102" spans="1:16" x14ac:dyDescent="0.35">
      <c r="A102" t="s">
        <v>183</v>
      </c>
      <c r="B102" s="1">
        <v>42757</v>
      </c>
      <c r="C102" t="s">
        <v>101</v>
      </c>
      <c r="D102" t="s">
        <v>584</v>
      </c>
      <c r="E102" t="s">
        <v>47</v>
      </c>
      <c r="F102" t="s">
        <v>184</v>
      </c>
      <c r="G102" t="s">
        <v>185</v>
      </c>
      <c r="H102" t="s">
        <v>21</v>
      </c>
      <c r="I102" t="s">
        <v>188</v>
      </c>
      <c r="J102" t="s">
        <v>610</v>
      </c>
      <c r="K102" t="s">
        <v>27</v>
      </c>
      <c r="L102" t="s">
        <v>189</v>
      </c>
      <c r="M102">
        <v>51.45</v>
      </c>
      <c r="N102">
        <v>3</v>
      </c>
      <c r="O102">
        <v>0</v>
      </c>
      <c r="P102">
        <v>13.891500000000001</v>
      </c>
    </row>
    <row r="103" spans="1:16" x14ac:dyDescent="0.35">
      <c r="A103" t="s">
        <v>183</v>
      </c>
      <c r="B103" s="1">
        <v>42757</v>
      </c>
      <c r="C103" t="s">
        <v>101</v>
      </c>
      <c r="D103" t="s">
        <v>584</v>
      </c>
      <c r="E103" t="s">
        <v>47</v>
      </c>
      <c r="F103" t="s">
        <v>184</v>
      </c>
      <c r="G103" t="s">
        <v>185</v>
      </c>
      <c r="H103" t="s">
        <v>21</v>
      </c>
      <c r="I103" t="s">
        <v>190</v>
      </c>
      <c r="J103" t="s">
        <v>610</v>
      </c>
      <c r="K103" t="s">
        <v>43</v>
      </c>
      <c r="L103" t="s">
        <v>191</v>
      </c>
      <c r="M103">
        <v>11.96</v>
      </c>
      <c r="N103">
        <v>2</v>
      </c>
      <c r="O103">
        <v>0</v>
      </c>
      <c r="P103">
        <v>5.3819999999999997</v>
      </c>
    </row>
    <row r="104" spans="1:16" x14ac:dyDescent="0.35">
      <c r="A104" t="s">
        <v>183</v>
      </c>
      <c r="B104" s="1">
        <v>42757</v>
      </c>
      <c r="C104" t="s">
        <v>101</v>
      </c>
      <c r="D104" t="s">
        <v>584</v>
      </c>
      <c r="E104" t="s">
        <v>47</v>
      </c>
      <c r="F104" t="s">
        <v>184</v>
      </c>
      <c r="G104" t="s">
        <v>185</v>
      </c>
      <c r="H104" t="s">
        <v>21</v>
      </c>
      <c r="I104" t="s">
        <v>192</v>
      </c>
      <c r="J104" t="s">
        <v>610</v>
      </c>
      <c r="K104" t="s">
        <v>27</v>
      </c>
      <c r="L104" t="s">
        <v>193</v>
      </c>
      <c r="M104">
        <v>1126.02</v>
      </c>
      <c r="N104">
        <v>3</v>
      </c>
      <c r="O104">
        <v>0</v>
      </c>
      <c r="P104">
        <v>56.301000000000002</v>
      </c>
    </row>
    <row r="105" spans="1:16" x14ac:dyDescent="0.35">
      <c r="A105" t="s">
        <v>525</v>
      </c>
      <c r="B105" s="1">
        <v>42757</v>
      </c>
      <c r="C105" t="s">
        <v>385</v>
      </c>
      <c r="D105" t="s">
        <v>585</v>
      </c>
      <c r="E105" t="s">
        <v>18</v>
      </c>
      <c r="F105" t="s">
        <v>74</v>
      </c>
      <c r="G105" t="s">
        <v>66</v>
      </c>
      <c r="H105" t="s">
        <v>48</v>
      </c>
      <c r="I105" t="s">
        <v>388</v>
      </c>
      <c r="J105" t="s">
        <v>610</v>
      </c>
      <c r="K105" t="s">
        <v>73</v>
      </c>
      <c r="L105" t="s">
        <v>102</v>
      </c>
      <c r="M105">
        <v>15.12</v>
      </c>
      <c r="N105">
        <v>5</v>
      </c>
      <c r="O105">
        <v>0.2</v>
      </c>
      <c r="P105">
        <v>4.9139999999999997</v>
      </c>
    </row>
    <row r="106" spans="1:16" x14ac:dyDescent="0.35">
      <c r="A106" t="s">
        <v>525</v>
      </c>
      <c r="B106" s="1">
        <v>42757</v>
      </c>
      <c r="C106" t="s">
        <v>385</v>
      </c>
      <c r="D106" t="s">
        <v>585</v>
      </c>
      <c r="E106" t="s">
        <v>18</v>
      </c>
      <c r="F106" t="s">
        <v>74</v>
      </c>
      <c r="G106" t="s">
        <v>66</v>
      </c>
      <c r="H106" t="s">
        <v>48</v>
      </c>
      <c r="I106" t="s">
        <v>466</v>
      </c>
      <c r="J106" t="s">
        <v>610</v>
      </c>
      <c r="K106" t="s">
        <v>33</v>
      </c>
      <c r="L106" t="s">
        <v>467</v>
      </c>
      <c r="M106">
        <v>7.8719999999999999</v>
      </c>
      <c r="N106">
        <v>3</v>
      </c>
      <c r="O106">
        <v>0.2</v>
      </c>
      <c r="P106">
        <v>0.88560000000000005</v>
      </c>
    </row>
    <row r="107" spans="1:16" x14ac:dyDescent="0.35">
      <c r="A107" t="s">
        <v>196</v>
      </c>
      <c r="B107" s="1">
        <v>42758</v>
      </c>
      <c r="C107" t="s">
        <v>197</v>
      </c>
      <c r="D107" t="s">
        <v>586</v>
      </c>
      <c r="E107" t="s">
        <v>18</v>
      </c>
      <c r="F107" t="s">
        <v>125</v>
      </c>
      <c r="G107" t="s">
        <v>69</v>
      </c>
      <c r="H107" t="s">
        <v>48</v>
      </c>
      <c r="I107" t="s">
        <v>177</v>
      </c>
      <c r="J107" t="s">
        <v>15</v>
      </c>
      <c r="K107" t="s">
        <v>25</v>
      </c>
      <c r="L107" t="s">
        <v>178</v>
      </c>
      <c r="M107">
        <v>210.98</v>
      </c>
      <c r="N107">
        <v>2</v>
      </c>
      <c r="O107">
        <v>0</v>
      </c>
      <c r="P107">
        <v>21.097999999999999</v>
      </c>
    </row>
    <row r="108" spans="1:16" x14ac:dyDescent="0.35">
      <c r="A108" t="s">
        <v>505</v>
      </c>
      <c r="B108" s="1">
        <v>42758</v>
      </c>
      <c r="C108" t="s">
        <v>238</v>
      </c>
      <c r="D108" t="s">
        <v>587</v>
      </c>
      <c r="E108" t="s">
        <v>18</v>
      </c>
      <c r="F108" t="s">
        <v>44</v>
      </c>
      <c r="G108" t="s">
        <v>45</v>
      </c>
      <c r="H108" t="s">
        <v>21</v>
      </c>
      <c r="I108" t="s">
        <v>381</v>
      </c>
      <c r="J108" t="s">
        <v>610</v>
      </c>
      <c r="K108" t="s">
        <v>39</v>
      </c>
      <c r="L108" t="s">
        <v>382</v>
      </c>
      <c r="M108">
        <v>19.68</v>
      </c>
      <c r="N108">
        <v>5</v>
      </c>
      <c r="O108">
        <v>0.2</v>
      </c>
      <c r="P108">
        <v>6.8879999999999999</v>
      </c>
    </row>
    <row r="109" spans="1:16" x14ac:dyDescent="0.35">
      <c r="A109" t="s">
        <v>505</v>
      </c>
      <c r="B109" s="1">
        <v>42758</v>
      </c>
      <c r="C109" t="s">
        <v>238</v>
      </c>
      <c r="D109" t="s">
        <v>587</v>
      </c>
      <c r="E109" t="s">
        <v>18</v>
      </c>
      <c r="F109" t="s">
        <v>44</v>
      </c>
      <c r="G109" t="s">
        <v>45</v>
      </c>
      <c r="H109" t="s">
        <v>21</v>
      </c>
      <c r="I109" t="s">
        <v>280</v>
      </c>
      <c r="J109" t="s">
        <v>610</v>
      </c>
      <c r="K109" t="s">
        <v>43</v>
      </c>
      <c r="L109" t="s">
        <v>281</v>
      </c>
      <c r="M109">
        <v>25.92</v>
      </c>
      <c r="N109">
        <v>4</v>
      </c>
      <c r="O109">
        <v>0</v>
      </c>
      <c r="P109">
        <v>12.441599999999999</v>
      </c>
    </row>
    <row r="110" spans="1:16" x14ac:dyDescent="0.35">
      <c r="A110" t="s">
        <v>505</v>
      </c>
      <c r="B110" s="1">
        <v>42758</v>
      </c>
      <c r="C110" t="s">
        <v>238</v>
      </c>
      <c r="D110" t="s">
        <v>587</v>
      </c>
      <c r="E110" t="s">
        <v>18</v>
      </c>
      <c r="F110" t="s">
        <v>44</v>
      </c>
      <c r="G110" t="s">
        <v>45</v>
      </c>
      <c r="H110" t="s">
        <v>21</v>
      </c>
      <c r="I110" t="s">
        <v>345</v>
      </c>
      <c r="J110" t="s">
        <v>610</v>
      </c>
      <c r="K110" t="s">
        <v>43</v>
      </c>
      <c r="L110" t="s">
        <v>346</v>
      </c>
      <c r="M110">
        <v>6.48</v>
      </c>
      <c r="N110">
        <v>1</v>
      </c>
      <c r="O110">
        <v>0</v>
      </c>
      <c r="P110">
        <v>3.1103999999999998</v>
      </c>
    </row>
    <row r="111" spans="1:16" x14ac:dyDescent="0.35">
      <c r="A111" t="s">
        <v>505</v>
      </c>
      <c r="B111" s="1">
        <v>42758</v>
      </c>
      <c r="C111" t="s">
        <v>238</v>
      </c>
      <c r="D111" t="s">
        <v>587</v>
      </c>
      <c r="E111" t="s">
        <v>18</v>
      </c>
      <c r="F111" t="s">
        <v>44</v>
      </c>
      <c r="G111" t="s">
        <v>45</v>
      </c>
      <c r="H111" t="s">
        <v>21</v>
      </c>
      <c r="I111" t="s">
        <v>501</v>
      </c>
      <c r="J111" t="s">
        <v>35</v>
      </c>
      <c r="K111" t="s">
        <v>36</v>
      </c>
      <c r="L111" t="s">
        <v>502</v>
      </c>
      <c r="M111">
        <v>86.352000000000004</v>
      </c>
      <c r="N111">
        <v>6</v>
      </c>
      <c r="O111">
        <v>0.2</v>
      </c>
      <c r="P111">
        <v>8.6351999999999993</v>
      </c>
    </row>
    <row r="112" spans="1:16" x14ac:dyDescent="0.35">
      <c r="A112" t="s">
        <v>537</v>
      </c>
      <c r="B112" s="1">
        <v>42758</v>
      </c>
      <c r="C112" t="s">
        <v>46</v>
      </c>
      <c r="D112" t="s">
        <v>588</v>
      </c>
      <c r="E112" t="s">
        <v>47</v>
      </c>
      <c r="F112" t="s">
        <v>151</v>
      </c>
      <c r="G112" t="s">
        <v>75</v>
      </c>
      <c r="H112" t="s">
        <v>21</v>
      </c>
      <c r="I112" t="s">
        <v>456</v>
      </c>
      <c r="J112" t="s">
        <v>35</v>
      </c>
      <c r="K112" t="s">
        <v>58</v>
      </c>
      <c r="L112" t="s">
        <v>457</v>
      </c>
      <c r="M112">
        <v>95.983999999999995</v>
      </c>
      <c r="N112">
        <v>2</v>
      </c>
      <c r="O112">
        <v>0.2</v>
      </c>
      <c r="P112">
        <v>11.997999999999999</v>
      </c>
    </row>
    <row r="113" spans="1:16" x14ac:dyDescent="0.35">
      <c r="A113" t="s">
        <v>537</v>
      </c>
      <c r="B113" s="1">
        <v>42758</v>
      </c>
      <c r="C113" t="s">
        <v>46</v>
      </c>
      <c r="D113" t="s">
        <v>588</v>
      </c>
      <c r="E113" t="s">
        <v>47</v>
      </c>
      <c r="F113" t="s">
        <v>151</v>
      </c>
      <c r="G113" t="s">
        <v>75</v>
      </c>
      <c r="H113" t="s">
        <v>21</v>
      </c>
      <c r="I113" t="s">
        <v>400</v>
      </c>
      <c r="J113" t="s">
        <v>610</v>
      </c>
      <c r="K113" t="s">
        <v>39</v>
      </c>
      <c r="L113" t="s">
        <v>401</v>
      </c>
      <c r="M113">
        <v>4.9379999999999997</v>
      </c>
      <c r="N113">
        <v>2</v>
      </c>
      <c r="O113">
        <v>0.7</v>
      </c>
      <c r="P113">
        <v>-3.6212</v>
      </c>
    </row>
    <row r="114" spans="1:16" x14ac:dyDescent="0.35">
      <c r="A114" t="s">
        <v>412</v>
      </c>
      <c r="B114" s="1">
        <v>42759</v>
      </c>
      <c r="C114" t="s">
        <v>206</v>
      </c>
      <c r="D114" t="s">
        <v>589</v>
      </c>
      <c r="E114" t="s">
        <v>613</v>
      </c>
      <c r="F114" t="s">
        <v>331</v>
      </c>
      <c r="G114" t="s">
        <v>150</v>
      </c>
      <c r="H114" t="s">
        <v>14</v>
      </c>
      <c r="I114" t="s">
        <v>332</v>
      </c>
      <c r="J114" t="s">
        <v>610</v>
      </c>
      <c r="K114" t="s">
        <v>73</v>
      </c>
      <c r="L114" t="s">
        <v>333</v>
      </c>
      <c r="M114">
        <v>5.67</v>
      </c>
      <c r="N114">
        <v>3</v>
      </c>
      <c r="O114">
        <v>0</v>
      </c>
      <c r="P114">
        <v>0.1134</v>
      </c>
    </row>
    <row r="115" spans="1:16" x14ac:dyDescent="0.35">
      <c r="A115" t="s">
        <v>536</v>
      </c>
      <c r="B115" s="1">
        <v>42759</v>
      </c>
      <c r="C115" t="s">
        <v>344</v>
      </c>
      <c r="D115" t="s">
        <v>590</v>
      </c>
      <c r="E115" t="s">
        <v>18</v>
      </c>
      <c r="F115" t="s">
        <v>108</v>
      </c>
      <c r="G115" t="s">
        <v>20</v>
      </c>
      <c r="H115" t="s">
        <v>21</v>
      </c>
      <c r="I115" t="s">
        <v>51</v>
      </c>
      <c r="J115" t="s">
        <v>610</v>
      </c>
      <c r="K115" t="s">
        <v>41</v>
      </c>
      <c r="L115" t="s">
        <v>52</v>
      </c>
      <c r="M115">
        <v>25.86</v>
      </c>
      <c r="N115">
        <v>3</v>
      </c>
      <c r="O115">
        <v>0</v>
      </c>
      <c r="P115">
        <v>6.7236000000000002</v>
      </c>
    </row>
    <row r="116" spans="1:16" x14ac:dyDescent="0.35">
      <c r="A116" t="s">
        <v>536</v>
      </c>
      <c r="B116" s="1">
        <v>42759</v>
      </c>
      <c r="C116" t="s">
        <v>344</v>
      </c>
      <c r="D116" t="s">
        <v>590</v>
      </c>
      <c r="E116" t="s">
        <v>18</v>
      </c>
      <c r="F116" t="s">
        <v>108</v>
      </c>
      <c r="G116" t="s">
        <v>20</v>
      </c>
      <c r="H116" t="s">
        <v>21</v>
      </c>
      <c r="I116" t="s">
        <v>460</v>
      </c>
      <c r="J116" t="s">
        <v>610</v>
      </c>
      <c r="K116" t="s">
        <v>39</v>
      </c>
      <c r="L116" t="s">
        <v>461</v>
      </c>
      <c r="M116">
        <v>276.78399999999999</v>
      </c>
      <c r="N116">
        <v>2</v>
      </c>
      <c r="O116">
        <v>0.2</v>
      </c>
      <c r="P116">
        <v>89.954800000000006</v>
      </c>
    </row>
    <row r="117" spans="1:16" x14ac:dyDescent="0.35">
      <c r="A117" t="s">
        <v>536</v>
      </c>
      <c r="B117" s="1">
        <v>42759</v>
      </c>
      <c r="C117" t="s">
        <v>344</v>
      </c>
      <c r="D117" t="s">
        <v>590</v>
      </c>
      <c r="E117" t="s">
        <v>18</v>
      </c>
      <c r="F117" t="s">
        <v>108</v>
      </c>
      <c r="G117" t="s">
        <v>20</v>
      </c>
      <c r="H117" t="s">
        <v>21</v>
      </c>
      <c r="I117" t="s">
        <v>477</v>
      </c>
      <c r="J117" t="s">
        <v>35</v>
      </c>
      <c r="K117" t="s">
        <v>36</v>
      </c>
      <c r="L117" t="s">
        <v>478</v>
      </c>
      <c r="M117">
        <v>110.352</v>
      </c>
      <c r="N117">
        <v>3</v>
      </c>
      <c r="O117">
        <v>0.2</v>
      </c>
      <c r="P117">
        <v>8.2764000000000006</v>
      </c>
    </row>
    <row r="118" spans="1:16" x14ac:dyDescent="0.35">
      <c r="A118" t="s">
        <v>437</v>
      </c>
      <c r="B118" s="1">
        <v>42761</v>
      </c>
      <c r="C118" t="s">
        <v>438</v>
      </c>
      <c r="D118" t="s">
        <v>591</v>
      </c>
      <c r="E118" t="s">
        <v>18</v>
      </c>
      <c r="F118" t="s">
        <v>433</v>
      </c>
      <c r="G118" t="s">
        <v>83</v>
      </c>
      <c r="H118" t="s">
        <v>14</v>
      </c>
      <c r="I118" t="s">
        <v>111</v>
      </c>
      <c r="J118" t="s">
        <v>610</v>
      </c>
      <c r="K118" t="s">
        <v>33</v>
      </c>
      <c r="L118" t="s">
        <v>112</v>
      </c>
      <c r="M118">
        <v>15.47</v>
      </c>
      <c r="N118">
        <v>7</v>
      </c>
      <c r="O118">
        <v>0</v>
      </c>
      <c r="P118">
        <v>4.1768999999999998</v>
      </c>
    </row>
    <row r="119" spans="1:16" x14ac:dyDescent="0.35">
      <c r="A119" t="s">
        <v>437</v>
      </c>
      <c r="B119" s="1">
        <v>42761</v>
      </c>
      <c r="C119" t="s">
        <v>438</v>
      </c>
      <c r="D119" t="s">
        <v>591</v>
      </c>
      <c r="E119" t="s">
        <v>18</v>
      </c>
      <c r="F119" t="s">
        <v>433</v>
      </c>
      <c r="G119" t="s">
        <v>83</v>
      </c>
      <c r="H119" t="s">
        <v>14</v>
      </c>
      <c r="I119" t="s">
        <v>120</v>
      </c>
      <c r="J119" t="s">
        <v>610</v>
      </c>
      <c r="K119" t="s">
        <v>39</v>
      </c>
      <c r="L119" t="s">
        <v>121</v>
      </c>
      <c r="M119">
        <v>7.16</v>
      </c>
      <c r="N119">
        <v>2</v>
      </c>
      <c r="O119">
        <v>0</v>
      </c>
      <c r="P119">
        <v>3.4367999999999999</v>
      </c>
    </row>
    <row r="120" spans="1:16" x14ac:dyDescent="0.35">
      <c r="A120" t="s">
        <v>498</v>
      </c>
      <c r="B120" s="1">
        <v>42761</v>
      </c>
      <c r="C120" t="s">
        <v>13</v>
      </c>
      <c r="D120" t="s">
        <v>592</v>
      </c>
      <c r="E120" t="s">
        <v>613</v>
      </c>
      <c r="F120" t="s">
        <v>65</v>
      </c>
      <c r="G120" t="s">
        <v>614</v>
      </c>
      <c r="H120" t="s">
        <v>48</v>
      </c>
      <c r="I120" t="s">
        <v>81</v>
      </c>
      <c r="J120" t="s">
        <v>610</v>
      </c>
      <c r="K120" t="s">
        <v>27</v>
      </c>
      <c r="L120" t="s">
        <v>82</v>
      </c>
      <c r="M120">
        <v>18.16</v>
      </c>
      <c r="N120">
        <v>2</v>
      </c>
      <c r="O120">
        <v>0.2</v>
      </c>
      <c r="P120">
        <v>1.8160000000000001</v>
      </c>
    </row>
    <row r="121" spans="1:16" x14ac:dyDescent="0.35">
      <c r="A121" t="s">
        <v>524</v>
      </c>
      <c r="B121" s="1">
        <v>42761</v>
      </c>
      <c r="C121" t="s">
        <v>159</v>
      </c>
      <c r="D121" t="s">
        <v>593</v>
      </c>
      <c r="E121" t="s">
        <v>613</v>
      </c>
      <c r="F121" t="s">
        <v>50</v>
      </c>
      <c r="G121" t="s">
        <v>20</v>
      </c>
      <c r="H121" t="s">
        <v>21</v>
      </c>
      <c r="I121" t="s">
        <v>358</v>
      </c>
      <c r="J121" t="s">
        <v>610</v>
      </c>
      <c r="K121" t="s">
        <v>73</v>
      </c>
      <c r="L121" t="s">
        <v>359</v>
      </c>
      <c r="M121">
        <v>11.84</v>
      </c>
      <c r="N121">
        <v>8</v>
      </c>
      <c r="O121">
        <v>0</v>
      </c>
      <c r="P121">
        <v>5.6832000000000003</v>
      </c>
    </row>
    <row r="122" spans="1:16" x14ac:dyDescent="0.35">
      <c r="A122" t="s">
        <v>528</v>
      </c>
      <c r="B122" s="1">
        <v>42761</v>
      </c>
      <c r="C122" t="s">
        <v>200</v>
      </c>
      <c r="D122" t="s">
        <v>594</v>
      </c>
      <c r="E122" t="s">
        <v>613</v>
      </c>
      <c r="F122" t="s">
        <v>94</v>
      </c>
      <c r="G122" t="s">
        <v>150</v>
      </c>
      <c r="H122" t="s">
        <v>14</v>
      </c>
      <c r="I122" t="s">
        <v>99</v>
      </c>
      <c r="J122" t="s">
        <v>15</v>
      </c>
      <c r="K122" t="s">
        <v>31</v>
      </c>
      <c r="L122" t="s">
        <v>100</v>
      </c>
      <c r="M122">
        <v>62.72</v>
      </c>
      <c r="N122">
        <v>4</v>
      </c>
      <c r="O122">
        <v>0</v>
      </c>
      <c r="P122">
        <v>24.460799999999999</v>
      </c>
    </row>
    <row r="123" spans="1:16" x14ac:dyDescent="0.35">
      <c r="A123" t="s">
        <v>528</v>
      </c>
      <c r="B123" s="1">
        <v>42761</v>
      </c>
      <c r="C123" t="s">
        <v>200</v>
      </c>
      <c r="D123" t="s">
        <v>594</v>
      </c>
      <c r="E123" t="s">
        <v>613</v>
      </c>
      <c r="F123" t="s">
        <v>94</v>
      </c>
      <c r="G123" t="s">
        <v>150</v>
      </c>
      <c r="H123" t="s">
        <v>14</v>
      </c>
      <c r="I123" t="s">
        <v>444</v>
      </c>
      <c r="J123" t="s">
        <v>35</v>
      </c>
      <c r="K123" t="s">
        <v>36</v>
      </c>
      <c r="L123" t="s">
        <v>445</v>
      </c>
      <c r="M123">
        <v>2939.93</v>
      </c>
      <c r="N123">
        <v>7</v>
      </c>
      <c r="O123">
        <v>0</v>
      </c>
      <c r="P123">
        <v>764.3818</v>
      </c>
    </row>
    <row r="124" spans="1:16" x14ac:dyDescent="0.35">
      <c r="A124" t="s">
        <v>398</v>
      </c>
      <c r="B124" s="1">
        <v>42762</v>
      </c>
      <c r="C124" t="s">
        <v>399</v>
      </c>
      <c r="D124" t="s">
        <v>595</v>
      </c>
      <c r="E124" t="s">
        <v>613</v>
      </c>
      <c r="F124" t="s">
        <v>357</v>
      </c>
      <c r="G124" t="s">
        <v>95</v>
      </c>
      <c r="H124" t="s">
        <v>55</v>
      </c>
      <c r="I124" t="s">
        <v>202</v>
      </c>
      <c r="J124" t="s">
        <v>610</v>
      </c>
      <c r="K124" t="s">
        <v>33</v>
      </c>
      <c r="L124" t="s">
        <v>203</v>
      </c>
      <c r="M124">
        <v>14.016</v>
      </c>
      <c r="N124">
        <v>3</v>
      </c>
      <c r="O124">
        <v>0.2</v>
      </c>
      <c r="P124">
        <v>1.752</v>
      </c>
    </row>
    <row r="125" spans="1:16" x14ac:dyDescent="0.35">
      <c r="A125" t="s">
        <v>398</v>
      </c>
      <c r="B125" s="1">
        <v>42762</v>
      </c>
      <c r="C125" t="s">
        <v>399</v>
      </c>
      <c r="D125" t="s">
        <v>595</v>
      </c>
      <c r="E125" t="s">
        <v>613</v>
      </c>
      <c r="F125" t="s">
        <v>357</v>
      </c>
      <c r="G125" t="s">
        <v>95</v>
      </c>
      <c r="H125" t="s">
        <v>55</v>
      </c>
      <c r="I125" t="s">
        <v>266</v>
      </c>
      <c r="J125" t="s">
        <v>35</v>
      </c>
      <c r="K125" t="s">
        <v>58</v>
      </c>
      <c r="L125" t="s">
        <v>267</v>
      </c>
      <c r="M125">
        <v>71.975999999999999</v>
      </c>
      <c r="N125">
        <v>3</v>
      </c>
      <c r="O125">
        <v>0.2</v>
      </c>
      <c r="P125">
        <v>-8.9969999999999999</v>
      </c>
    </row>
    <row r="126" spans="1:16" x14ac:dyDescent="0.35">
      <c r="A126" t="s">
        <v>398</v>
      </c>
      <c r="B126" s="1">
        <v>42762</v>
      </c>
      <c r="C126" t="s">
        <v>399</v>
      </c>
      <c r="D126" t="s">
        <v>595</v>
      </c>
      <c r="E126" t="s">
        <v>613</v>
      </c>
      <c r="F126" t="s">
        <v>357</v>
      </c>
      <c r="G126" t="s">
        <v>95</v>
      </c>
      <c r="H126" t="s">
        <v>55</v>
      </c>
      <c r="I126" t="s">
        <v>117</v>
      </c>
      <c r="J126" t="s">
        <v>35</v>
      </c>
      <c r="K126" t="s">
        <v>36</v>
      </c>
      <c r="L126" t="s">
        <v>118</v>
      </c>
      <c r="M126">
        <v>107.982</v>
      </c>
      <c r="N126">
        <v>3</v>
      </c>
      <c r="O126">
        <v>0.4</v>
      </c>
      <c r="P126">
        <v>-26.9955</v>
      </c>
    </row>
    <row r="127" spans="1:16" x14ac:dyDescent="0.35">
      <c r="A127" t="s">
        <v>518</v>
      </c>
      <c r="B127" s="1">
        <v>42762</v>
      </c>
      <c r="C127" t="s">
        <v>407</v>
      </c>
      <c r="D127" t="s">
        <v>596</v>
      </c>
      <c r="E127" t="s">
        <v>613</v>
      </c>
      <c r="F127" t="s">
        <v>71</v>
      </c>
      <c r="G127" t="s">
        <v>72</v>
      </c>
      <c r="H127" t="s">
        <v>55</v>
      </c>
      <c r="I127" t="s">
        <v>477</v>
      </c>
      <c r="J127" t="s">
        <v>35</v>
      </c>
      <c r="K127" t="s">
        <v>36</v>
      </c>
      <c r="L127" t="s">
        <v>478</v>
      </c>
      <c r="M127">
        <v>137.94</v>
      </c>
      <c r="N127">
        <v>3</v>
      </c>
      <c r="O127">
        <v>0</v>
      </c>
      <c r="P127">
        <v>35.864400000000003</v>
      </c>
    </row>
    <row r="128" spans="1:16" x14ac:dyDescent="0.35">
      <c r="A128" t="s">
        <v>336</v>
      </c>
      <c r="B128" s="1">
        <v>42763</v>
      </c>
      <c r="C128" t="s">
        <v>337</v>
      </c>
      <c r="D128" t="s">
        <v>597</v>
      </c>
      <c r="E128" t="s">
        <v>47</v>
      </c>
      <c r="F128" t="s">
        <v>179</v>
      </c>
      <c r="G128" t="s">
        <v>20</v>
      </c>
      <c r="H128" t="s">
        <v>21</v>
      </c>
      <c r="I128" t="s">
        <v>317</v>
      </c>
      <c r="J128" t="s">
        <v>35</v>
      </c>
      <c r="K128" t="s">
        <v>58</v>
      </c>
      <c r="L128" t="s">
        <v>318</v>
      </c>
      <c r="M128">
        <v>239.97</v>
      </c>
      <c r="N128">
        <v>3</v>
      </c>
      <c r="O128">
        <v>0</v>
      </c>
      <c r="P128">
        <v>26.396699999999999</v>
      </c>
    </row>
    <row r="129" spans="1:16" x14ac:dyDescent="0.35">
      <c r="A129" t="s">
        <v>336</v>
      </c>
      <c r="B129" s="1">
        <v>42763</v>
      </c>
      <c r="C129" t="s">
        <v>337</v>
      </c>
      <c r="D129" t="s">
        <v>597</v>
      </c>
      <c r="E129" t="s">
        <v>47</v>
      </c>
      <c r="F129" t="s">
        <v>179</v>
      </c>
      <c r="G129" t="s">
        <v>20</v>
      </c>
      <c r="H129" t="s">
        <v>21</v>
      </c>
      <c r="I129" t="s">
        <v>338</v>
      </c>
      <c r="J129" t="s">
        <v>15</v>
      </c>
      <c r="K129" t="s">
        <v>31</v>
      </c>
      <c r="L129" t="s">
        <v>339</v>
      </c>
      <c r="M129">
        <v>37.74</v>
      </c>
      <c r="N129">
        <v>3</v>
      </c>
      <c r="O129">
        <v>0</v>
      </c>
      <c r="P129">
        <v>12.8316</v>
      </c>
    </row>
    <row r="130" spans="1:16" x14ac:dyDescent="0.35">
      <c r="A130" t="s">
        <v>482</v>
      </c>
      <c r="B130" s="1">
        <v>42763</v>
      </c>
      <c r="C130" t="s">
        <v>446</v>
      </c>
      <c r="D130" t="s">
        <v>598</v>
      </c>
      <c r="E130" t="s">
        <v>613</v>
      </c>
      <c r="F130" t="s">
        <v>471</v>
      </c>
      <c r="G130" t="s">
        <v>371</v>
      </c>
      <c r="H130" t="s">
        <v>48</v>
      </c>
      <c r="I130" t="s">
        <v>329</v>
      </c>
      <c r="J130" t="s">
        <v>610</v>
      </c>
      <c r="K130" t="s">
        <v>43</v>
      </c>
      <c r="L130" t="s">
        <v>330</v>
      </c>
      <c r="M130">
        <v>279.89999999999998</v>
      </c>
      <c r="N130">
        <v>5</v>
      </c>
      <c r="O130">
        <v>0</v>
      </c>
      <c r="P130">
        <v>137.15100000000001</v>
      </c>
    </row>
    <row r="131" spans="1:16" x14ac:dyDescent="0.35">
      <c r="A131" t="s">
        <v>512</v>
      </c>
      <c r="B131" s="1">
        <v>42763</v>
      </c>
      <c r="C131" t="s">
        <v>422</v>
      </c>
      <c r="D131" t="s">
        <v>599</v>
      </c>
      <c r="E131" t="s">
        <v>47</v>
      </c>
      <c r="F131" t="s">
        <v>71</v>
      </c>
      <c r="G131" t="s">
        <v>72</v>
      </c>
      <c r="H131" t="s">
        <v>55</v>
      </c>
      <c r="I131" t="s">
        <v>389</v>
      </c>
      <c r="J131" t="s">
        <v>35</v>
      </c>
      <c r="K131" t="s">
        <v>58</v>
      </c>
      <c r="L131" t="s">
        <v>390</v>
      </c>
      <c r="M131">
        <v>449.91</v>
      </c>
      <c r="N131">
        <v>9</v>
      </c>
      <c r="O131">
        <v>0</v>
      </c>
      <c r="P131">
        <v>157.46850000000001</v>
      </c>
    </row>
    <row r="132" spans="1:16" x14ac:dyDescent="0.35">
      <c r="A132" t="s">
        <v>462</v>
      </c>
      <c r="B132" s="1">
        <v>42764</v>
      </c>
      <c r="C132" t="s">
        <v>207</v>
      </c>
      <c r="D132" t="s">
        <v>600</v>
      </c>
      <c r="E132" t="s">
        <v>613</v>
      </c>
      <c r="F132" t="s">
        <v>74</v>
      </c>
      <c r="G132" t="s">
        <v>66</v>
      </c>
      <c r="H132" t="s">
        <v>48</v>
      </c>
      <c r="I132" t="s">
        <v>138</v>
      </c>
      <c r="J132" t="s">
        <v>610</v>
      </c>
      <c r="K132" t="s">
        <v>39</v>
      </c>
      <c r="L132" t="s">
        <v>139</v>
      </c>
      <c r="M132">
        <v>12.128</v>
      </c>
      <c r="N132">
        <v>4</v>
      </c>
      <c r="O132">
        <v>0.8</v>
      </c>
      <c r="P132">
        <v>-20.617599999999999</v>
      </c>
    </row>
    <row r="133" spans="1:16" x14ac:dyDescent="0.35">
      <c r="A133" t="s">
        <v>490</v>
      </c>
      <c r="B133" s="1">
        <v>42764</v>
      </c>
      <c r="C133" t="s">
        <v>289</v>
      </c>
      <c r="D133" t="s">
        <v>601</v>
      </c>
      <c r="E133" t="s">
        <v>613</v>
      </c>
      <c r="F133" t="s">
        <v>50</v>
      </c>
      <c r="G133" t="s">
        <v>20</v>
      </c>
      <c r="H133" t="s">
        <v>21</v>
      </c>
      <c r="I133" t="s">
        <v>449</v>
      </c>
      <c r="J133" t="s">
        <v>610</v>
      </c>
      <c r="K133" t="s">
        <v>33</v>
      </c>
      <c r="L133" t="s">
        <v>450</v>
      </c>
      <c r="M133">
        <v>8.34</v>
      </c>
      <c r="N133">
        <v>3</v>
      </c>
      <c r="O133">
        <v>0</v>
      </c>
      <c r="P133">
        <v>2.1684000000000001</v>
      </c>
    </row>
    <row r="134" spans="1:16" x14ac:dyDescent="0.35">
      <c r="A134" t="s">
        <v>490</v>
      </c>
      <c r="B134" s="1">
        <v>42764</v>
      </c>
      <c r="C134" t="s">
        <v>289</v>
      </c>
      <c r="D134" t="s">
        <v>601</v>
      </c>
      <c r="E134" t="s">
        <v>613</v>
      </c>
      <c r="F134" t="s">
        <v>50</v>
      </c>
      <c r="G134" t="s">
        <v>20</v>
      </c>
      <c r="H134" t="s">
        <v>21</v>
      </c>
      <c r="I134" t="s">
        <v>396</v>
      </c>
      <c r="J134" t="s">
        <v>610</v>
      </c>
      <c r="K134" t="s">
        <v>105</v>
      </c>
      <c r="L134" t="s">
        <v>397</v>
      </c>
      <c r="M134">
        <v>8.57</v>
      </c>
      <c r="N134">
        <v>1</v>
      </c>
      <c r="O134">
        <v>0</v>
      </c>
      <c r="P134">
        <v>2.2282000000000002</v>
      </c>
    </row>
    <row r="135" spans="1:16" x14ac:dyDescent="0.35">
      <c r="A135" t="s">
        <v>490</v>
      </c>
      <c r="B135" s="1">
        <v>42764</v>
      </c>
      <c r="C135" t="s">
        <v>289</v>
      </c>
      <c r="D135" t="s">
        <v>601</v>
      </c>
      <c r="E135" t="s">
        <v>613</v>
      </c>
      <c r="F135" t="s">
        <v>50</v>
      </c>
      <c r="G135" t="s">
        <v>20</v>
      </c>
      <c r="H135" t="s">
        <v>21</v>
      </c>
      <c r="I135" t="s">
        <v>180</v>
      </c>
      <c r="J135" t="s">
        <v>610</v>
      </c>
      <c r="K135" t="s">
        <v>39</v>
      </c>
      <c r="L135" t="s">
        <v>181</v>
      </c>
      <c r="M135">
        <v>119.616</v>
      </c>
      <c r="N135">
        <v>8</v>
      </c>
      <c r="O135">
        <v>0.2</v>
      </c>
      <c r="P135">
        <v>40.370399999999997</v>
      </c>
    </row>
    <row r="136" spans="1:16" x14ac:dyDescent="0.35">
      <c r="A136" t="s">
        <v>516</v>
      </c>
      <c r="B136" s="1">
        <v>42764</v>
      </c>
      <c r="C136" t="s">
        <v>288</v>
      </c>
      <c r="D136" t="s">
        <v>602</v>
      </c>
      <c r="E136" t="s">
        <v>613</v>
      </c>
      <c r="F136" t="s">
        <v>71</v>
      </c>
      <c r="G136" t="s">
        <v>72</v>
      </c>
      <c r="H136" t="s">
        <v>55</v>
      </c>
      <c r="I136" t="s">
        <v>270</v>
      </c>
      <c r="J136" t="s">
        <v>610</v>
      </c>
      <c r="K136" t="s">
        <v>22</v>
      </c>
      <c r="L136" t="s">
        <v>271</v>
      </c>
      <c r="M136">
        <v>5.22</v>
      </c>
      <c r="N136">
        <v>2</v>
      </c>
      <c r="O136">
        <v>0</v>
      </c>
      <c r="P136">
        <v>2.4011999999999998</v>
      </c>
    </row>
    <row r="137" spans="1:16" x14ac:dyDescent="0.35">
      <c r="A137" t="s">
        <v>531</v>
      </c>
      <c r="B137" s="1">
        <v>42764</v>
      </c>
      <c r="C137" t="s">
        <v>319</v>
      </c>
      <c r="D137" t="s">
        <v>603</v>
      </c>
      <c r="E137" t="s">
        <v>613</v>
      </c>
      <c r="F137" t="s">
        <v>53</v>
      </c>
      <c r="G137" t="s">
        <v>54</v>
      </c>
      <c r="H137" t="s">
        <v>55</v>
      </c>
      <c r="I137" t="s">
        <v>84</v>
      </c>
      <c r="J137" t="s">
        <v>610</v>
      </c>
      <c r="K137" t="s">
        <v>33</v>
      </c>
      <c r="L137" t="s">
        <v>85</v>
      </c>
      <c r="M137">
        <v>4.7679999999999998</v>
      </c>
      <c r="N137">
        <v>2</v>
      </c>
      <c r="O137">
        <v>0.2</v>
      </c>
      <c r="P137">
        <v>0.4768</v>
      </c>
    </row>
    <row r="138" spans="1:16" x14ac:dyDescent="0.35">
      <c r="A138" t="s">
        <v>541</v>
      </c>
      <c r="B138" s="1">
        <v>42764</v>
      </c>
      <c r="C138" t="s">
        <v>414</v>
      </c>
      <c r="D138" t="s">
        <v>577</v>
      </c>
      <c r="E138" t="s">
        <v>613</v>
      </c>
      <c r="F138" t="s">
        <v>403</v>
      </c>
      <c r="G138" t="s">
        <v>93</v>
      </c>
      <c r="H138" t="s">
        <v>48</v>
      </c>
      <c r="I138" t="s">
        <v>447</v>
      </c>
      <c r="J138" t="s">
        <v>610</v>
      </c>
      <c r="K138" t="s">
        <v>43</v>
      </c>
      <c r="L138" t="s">
        <v>448</v>
      </c>
      <c r="M138">
        <v>12.96</v>
      </c>
      <c r="N138">
        <v>2</v>
      </c>
      <c r="O138">
        <v>0</v>
      </c>
      <c r="P138">
        <v>6.2207999999999997</v>
      </c>
    </row>
    <row r="139" spans="1:16" x14ac:dyDescent="0.35">
      <c r="A139" t="s">
        <v>541</v>
      </c>
      <c r="B139" s="1">
        <v>42764</v>
      </c>
      <c r="C139" t="s">
        <v>414</v>
      </c>
      <c r="D139" t="s">
        <v>577</v>
      </c>
      <c r="E139" t="s">
        <v>613</v>
      </c>
      <c r="F139" t="s">
        <v>403</v>
      </c>
      <c r="G139" t="s">
        <v>93</v>
      </c>
      <c r="H139" t="s">
        <v>48</v>
      </c>
      <c r="I139" t="s">
        <v>252</v>
      </c>
      <c r="J139" t="s">
        <v>610</v>
      </c>
      <c r="K139" t="s">
        <v>43</v>
      </c>
      <c r="L139" t="s">
        <v>253</v>
      </c>
      <c r="M139">
        <v>94.85</v>
      </c>
      <c r="N139">
        <v>5</v>
      </c>
      <c r="O139">
        <v>0</v>
      </c>
      <c r="P139">
        <v>45.527999999999999</v>
      </c>
    </row>
    <row r="140" spans="1:16" x14ac:dyDescent="0.35">
      <c r="A140" t="s">
        <v>541</v>
      </c>
      <c r="B140" s="1">
        <v>42764</v>
      </c>
      <c r="C140" t="s">
        <v>414</v>
      </c>
      <c r="D140" t="s">
        <v>577</v>
      </c>
      <c r="E140" t="s">
        <v>613</v>
      </c>
      <c r="F140" t="s">
        <v>403</v>
      </c>
      <c r="G140" t="s">
        <v>93</v>
      </c>
      <c r="H140" t="s">
        <v>48</v>
      </c>
      <c r="I140" t="s">
        <v>109</v>
      </c>
      <c r="J140" t="s">
        <v>610</v>
      </c>
      <c r="K140" t="s">
        <v>27</v>
      </c>
      <c r="L140" t="s">
        <v>110</v>
      </c>
      <c r="M140">
        <v>13.48</v>
      </c>
      <c r="N140">
        <v>1</v>
      </c>
      <c r="O140">
        <v>0</v>
      </c>
      <c r="P140">
        <v>3.5047999999999999</v>
      </c>
    </row>
    <row r="141" spans="1:16" x14ac:dyDescent="0.35">
      <c r="A141" t="s">
        <v>541</v>
      </c>
      <c r="B141" s="1">
        <v>42764</v>
      </c>
      <c r="C141" t="s">
        <v>414</v>
      </c>
      <c r="D141" t="s">
        <v>577</v>
      </c>
      <c r="E141" t="s">
        <v>613</v>
      </c>
      <c r="F141" t="s">
        <v>403</v>
      </c>
      <c r="G141" t="s">
        <v>93</v>
      </c>
      <c r="H141" t="s">
        <v>48</v>
      </c>
      <c r="I141" t="s">
        <v>208</v>
      </c>
      <c r="J141" t="s">
        <v>15</v>
      </c>
      <c r="K141" t="s">
        <v>31</v>
      </c>
      <c r="L141" t="s">
        <v>209</v>
      </c>
      <c r="M141">
        <v>14.91</v>
      </c>
      <c r="N141">
        <v>3</v>
      </c>
      <c r="O141">
        <v>0</v>
      </c>
      <c r="P141">
        <v>4.6220999999999997</v>
      </c>
    </row>
    <row r="142" spans="1:16" x14ac:dyDescent="0.35">
      <c r="A142" t="s">
        <v>239</v>
      </c>
      <c r="B142" s="1">
        <v>42765</v>
      </c>
      <c r="C142" t="s">
        <v>240</v>
      </c>
      <c r="D142" t="s">
        <v>604</v>
      </c>
      <c r="E142" t="s">
        <v>18</v>
      </c>
      <c r="F142" t="s">
        <v>153</v>
      </c>
      <c r="G142" t="s">
        <v>93</v>
      </c>
      <c r="H142" t="s">
        <v>48</v>
      </c>
      <c r="I142" t="s">
        <v>241</v>
      </c>
      <c r="J142" t="s">
        <v>610</v>
      </c>
      <c r="K142" t="s">
        <v>39</v>
      </c>
      <c r="L142" t="s">
        <v>242</v>
      </c>
      <c r="M142">
        <v>18.28</v>
      </c>
      <c r="N142">
        <v>2</v>
      </c>
      <c r="O142">
        <v>0</v>
      </c>
      <c r="P142">
        <v>9.14</v>
      </c>
    </row>
    <row r="143" spans="1:16" x14ac:dyDescent="0.35">
      <c r="A143" t="s">
        <v>239</v>
      </c>
      <c r="B143" s="1">
        <v>42765</v>
      </c>
      <c r="C143" t="s">
        <v>240</v>
      </c>
      <c r="D143" t="s">
        <v>604</v>
      </c>
      <c r="E143" t="s">
        <v>18</v>
      </c>
      <c r="F143" t="s">
        <v>153</v>
      </c>
      <c r="G143" t="s">
        <v>93</v>
      </c>
      <c r="H143" t="s">
        <v>48</v>
      </c>
      <c r="I143" t="s">
        <v>141</v>
      </c>
      <c r="J143" t="s">
        <v>35</v>
      </c>
      <c r="K143" t="s">
        <v>36</v>
      </c>
      <c r="L143" t="s">
        <v>142</v>
      </c>
      <c r="M143">
        <v>207</v>
      </c>
      <c r="N143">
        <v>3</v>
      </c>
      <c r="O143">
        <v>0</v>
      </c>
      <c r="P143">
        <v>51.75</v>
      </c>
    </row>
    <row r="144" spans="1:16" x14ac:dyDescent="0.35">
      <c r="A144" t="s">
        <v>239</v>
      </c>
      <c r="B144" s="1">
        <v>42765</v>
      </c>
      <c r="C144" t="s">
        <v>240</v>
      </c>
      <c r="D144" t="s">
        <v>604</v>
      </c>
      <c r="E144" t="s">
        <v>18</v>
      </c>
      <c r="F144" t="s">
        <v>153</v>
      </c>
      <c r="G144" t="s">
        <v>93</v>
      </c>
      <c r="H144" t="s">
        <v>48</v>
      </c>
      <c r="I144" t="s">
        <v>243</v>
      </c>
      <c r="J144" t="s">
        <v>610</v>
      </c>
      <c r="K144" t="s">
        <v>39</v>
      </c>
      <c r="L144" t="s">
        <v>244</v>
      </c>
      <c r="M144">
        <v>32.35</v>
      </c>
      <c r="N144">
        <v>5</v>
      </c>
      <c r="O144">
        <v>0</v>
      </c>
      <c r="P144">
        <v>16.175000000000001</v>
      </c>
    </row>
    <row r="145" spans="1:16" x14ac:dyDescent="0.35">
      <c r="A145" t="s">
        <v>239</v>
      </c>
      <c r="B145" s="1">
        <v>42765</v>
      </c>
      <c r="C145" t="s">
        <v>240</v>
      </c>
      <c r="D145" t="s">
        <v>604</v>
      </c>
      <c r="E145" t="s">
        <v>18</v>
      </c>
      <c r="F145" t="s">
        <v>153</v>
      </c>
      <c r="G145" t="s">
        <v>93</v>
      </c>
      <c r="H145" t="s">
        <v>48</v>
      </c>
      <c r="I145" t="s">
        <v>38</v>
      </c>
      <c r="J145" t="s">
        <v>610</v>
      </c>
      <c r="K145" t="s">
        <v>39</v>
      </c>
      <c r="L145" t="s">
        <v>40</v>
      </c>
      <c r="M145">
        <v>7.71</v>
      </c>
      <c r="N145">
        <v>1</v>
      </c>
      <c r="O145">
        <v>0</v>
      </c>
      <c r="P145">
        <v>3.4695</v>
      </c>
    </row>
    <row r="146" spans="1:16" x14ac:dyDescent="0.35">
      <c r="A146" t="s">
        <v>239</v>
      </c>
      <c r="B146" s="1">
        <v>42765</v>
      </c>
      <c r="C146" t="s">
        <v>240</v>
      </c>
      <c r="D146" t="s">
        <v>604</v>
      </c>
      <c r="E146" t="s">
        <v>18</v>
      </c>
      <c r="F146" t="s">
        <v>153</v>
      </c>
      <c r="G146" t="s">
        <v>93</v>
      </c>
      <c r="H146" t="s">
        <v>48</v>
      </c>
      <c r="I146" t="s">
        <v>245</v>
      </c>
      <c r="J146" t="s">
        <v>610</v>
      </c>
      <c r="K146" t="s">
        <v>33</v>
      </c>
      <c r="L146" t="s">
        <v>246</v>
      </c>
      <c r="M146">
        <v>40.299999999999997</v>
      </c>
      <c r="N146">
        <v>2</v>
      </c>
      <c r="O146">
        <v>0</v>
      </c>
      <c r="P146">
        <v>10.881</v>
      </c>
    </row>
    <row r="147" spans="1:16" x14ac:dyDescent="0.35">
      <c r="A147" t="s">
        <v>239</v>
      </c>
      <c r="B147" s="1">
        <v>42765</v>
      </c>
      <c r="C147" t="s">
        <v>240</v>
      </c>
      <c r="D147" t="s">
        <v>604</v>
      </c>
      <c r="E147" t="s">
        <v>18</v>
      </c>
      <c r="F147" t="s">
        <v>153</v>
      </c>
      <c r="G147" t="s">
        <v>93</v>
      </c>
      <c r="H147" t="s">
        <v>48</v>
      </c>
      <c r="I147" t="s">
        <v>247</v>
      </c>
      <c r="J147" t="s">
        <v>15</v>
      </c>
      <c r="K147" t="s">
        <v>31</v>
      </c>
      <c r="L147" t="s">
        <v>248</v>
      </c>
      <c r="M147">
        <v>34.58</v>
      </c>
      <c r="N147">
        <v>7</v>
      </c>
      <c r="O147">
        <v>0</v>
      </c>
      <c r="P147">
        <v>14.5236</v>
      </c>
    </row>
    <row r="148" spans="1:16" x14ac:dyDescent="0.35">
      <c r="A148" t="s">
        <v>441</v>
      </c>
      <c r="B148" s="1">
        <v>42765</v>
      </c>
      <c r="C148" t="s">
        <v>342</v>
      </c>
      <c r="D148" t="s">
        <v>605</v>
      </c>
      <c r="E148" t="s">
        <v>613</v>
      </c>
      <c r="F148" t="s">
        <v>50</v>
      </c>
      <c r="G148" t="s">
        <v>20</v>
      </c>
      <c r="H148" t="s">
        <v>21</v>
      </c>
      <c r="I148" t="s">
        <v>216</v>
      </c>
      <c r="J148" t="s">
        <v>610</v>
      </c>
      <c r="K148" t="s">
        <v>27</v>
      </c>
      <c r="L148" t="s">
        <v>217</v>
      </c>
      <c r="M148">
        <v>129.30000000000001</v>
      </c>
      <c r="N148">
        <v>2</v>
      </c>
      <c r="O148">
        <v>0</v>
      </c>
      <c r="P148">
        <v>6.4649999999999999</v>
      </c>
    </row>
    <row r="149" spans="1:16" x14ac:dyDescent="0.35">
      <c r="A149" t="s">
        <v>472</v>
      </c>
      <c r="B149" s="1">
        <v>42765</v>
      </c>
      <c r="C149" t="s">
        <v>215</v>
      </c>
      <c r="D149" t="s">
        <v>606</v>
      </c>
      <c r="E149" t="s">
        <v>47</v>
      </c>
      <c r="F149" t="s">
        <v>50</v>
      </c>
      <c r="G149" t="s">
        <v>20</v>
      </c>
      <c r="H149" t="s">
        <v>21</v>
      </c>
      <c r="I149" t="s">
        <v>309</v>
      </c>
      <c r="J149" t="s">
        <v>610</v>
      </c>
      <c r="K149" t="s">
        <v>33</v>
      </c>
      <c r="L149" t="s">
        <v>310</v>
      </c>
      <c r="M149">
        <v>12.74</v>
      </c>
      <c r="N149">
        <v>7</v>
      </c>
      <c r="O149">
        <v>0</v>
      </c>
      <c r="P149">
        <v>5.7329999999999997</v>
      </c>
    </row>
    <row r="150" spans="1:16" x14ac:dyDescent="0.35">
      <c r="A150" t="s">
        <v>472</v>
      </c>
      <c r="B150" s="1">
        <v>42765</v>
      </c>
      <c r="C150" t="s">
        <v>215</v>
      </c>
      <c r="D150" t="s">
        <v>606</v>
      </c>
      <c r="E150" t="s">
        <v>47</v>
      </c>
      <c r="F150" t="s">
        <v>50</v>
      </c>
      <c r="G150" t="s">
        <v>20</v>
      </c>
      <c r="H150" t="s">
        <v>21</v>
      </c>
      <c r="I150" t="s">
        <v>473</v>
      </c>
      <c r="J150" t="s">
        <v>610</v>
      </c>
      <c r="K150" t="s">
        <v>33</v>
      </c>
      <c r="L150" t="s">
        <v>474</v>
      </c>
      <c r="M150">
        <v>8.82</v>
      </c>
      <c r="N150">
        <v>3</v>
      </c>
      <c r="O150">
        <v>0</v>
      </c>
      <c r="P150">
        <v>2.3814000000000002</v>
      </c>
    </row>
    <row r="151" spans="1:16" x14ac:dyDescent="0.35">
      <c r="A151" t="s">
        <v>472</v>
      </c>
      <c r="B151" s="1">
        <v>42765</v>
      </c>
      <c r="C151" t="s">
        <v>215</v>
      </c>
      <c r="D151" t="s">
        <v>606</v>
      </c>
      <c r="E151" t="s">
        <v>47</v>
      </c>
      <c r="F151" t="s">
        <v>50</v>
      </c>
      <c r="G151" t="s">
        <v>20</v>
      </c>
      <c r="H151" t="s">
        <v>21</v>
      </c>
      <c r="I151" t="s">
        <v>86</v>
      </c>
      <c r="J151" t="s">
        <v>15</v>
      </c>
      <c r="K151" t="s">
        <v>17</v>
      </c>
      <c r="L151" t="s">
        <v>87</v>
      </c>
      <c r="M151">
        <v>120.78400000000001</v>
      </c>
      <c r="N151">
        <v>1</v>
      </c>
      <c r="O151">
        <v>0.2</v>
      </c>
      <c r="P151">
        <v>-13.588200000000001</v>
      </c>
    </row>
    <row r="152" spans="1:16" x14ac:dyDescent="0.35">
      <c r="A152" t="s">
        <v>495</v>
      </c>
      <c r="B152" s="1">
        <v>42765</v>
      </c>
      <c r="C152" t="s">
        <v>56</v>
      </c>
      <c r="D152" t="s">
        <v>607</v>
      </c>
      <c r="E152" t="s">
        <v>613</v>
      </c>
      <c r="F152" t="s">
        <v>156</v>
      </c>
      <c r="G152" t="s">
        <v>24</v>
      </c>
      <c r="H152" t="s">
        <v>14</v>
      </c>
      <c r="I152" t="s">
        <v>496</v>
      </c>
      <c r="J152" t="s">
        <v>15</v>
      </c>
      <c r="K152" t="s">
        <v>17</v>
      </c>
      <c r="L152" t="s">
        <v>497</v>
      </c>
      <c r="M152">
        <v>419.13600000000002</v>
      </c>
      <c r="N152">
        <v>4</v>
      </c>
      <c r="O152">
        <v>0.2</v>
      </c>
      <c r="P152">
        <v>-68.1096</v>
      </c>
    </row>
    <row r="153" spans="1:16" x14ac:dyDescent="0.35">
      <c r="A153" t="s">
        <v>527</v>
      </c>
      <c r="B153" s="1">
        <v>42765</v>
      </c>
      <c r="C153" t="s">
        <v>320</v>
      </c>
      <c r="D153" t="s">
        <v>608</v>
      </c>
      <c r="E153" t="s">
        <v>613</v>
      </c>
      <c r="F153" t="s">
        <v>88</v>
      </c>
      <c r="G153" t="s">
        <v>66</v>
      </c>
      <c r="H153" t="s">
        <v>48</v>
      </c>
      <c r="I153" t="s">
        <v>458</v>
      </c>
      <c r="J153" t="s">
        <v>15</v>
      </c>
      <c r="K153" t="s">
        <v>25</v>
      </c>
      <c r="L153" t="s">
        <v>459</v>
      </c>
      <c r="M153">
        <v>69.375</v>
      </c>
      <c r="N153">
        <v>1</v>
      </c>
      <c r="O153">
        <v>0.5</v>
      </c>
      <c r="P153">
        <v>-47.174999999999997</v>
      </c>
    </row>
    <row r="154" spans="1:16" x14ac:dyDescent="0.35">
      <c r="A154" t="s">
        <v>527</v>
      </c>
      <c r="B154" s="1">
        <v>42765</v>
      </c>
      <c r="C154" t="s">
        <v>320</v>
      </c>
      <c r="D154" t="s">
        <v>608</v>
      </c>
      <c r="E154" t="s">
        <v>613</v>
      </c>
      <c r="F154" t="s">
        <v>88</v>
      </c>
      <c r="G154" t="s">
        <v>66</v>
      </c>
      <c r="H154" t="s">
        <v>48</v>
      </c>
      <c r="I154" t="s">
        <v>218</v>
      </c>
      <c r="J154" t="s">
        <v>610</v>
      </c>
      <c r="K154" t="s">
        <v>105</v>
      </c>
      <c r="L154" t="s">
        <v>219</v>
      </c>
      <c r="M154">
        <v>31.68</v>
      </c>
      <c r="N154">
        <v>4</v>
      </c>
      <c r="O154">
        <v>0.2</v>
      </c>
      <c r="P154">
        <v>2.7719999999999998</v>
      </c>
    </row>
    <row r="155" spans="1:16" x14ac:dyDescent="0.35">
      <c r="A155" t="s">
        <v>527</v>
      </c>
      <c r="B155" s="1">
        <v>42765</v>
      </c>
      <c r="C155" t="s">
        <v>320</v>
      </c>
      <c r="D155" t="s">
        <v>608</v>
      </c>
      <c r="E155" t="s">
        <v>613</v>
      </c>
      <c r="F155" t="s">
        <v>88</v>
      </c>
      <c r="G155" t="s">
        <v>66</v>
      </c>
      <c r="H155" t="s">
        <v>48</v>
      </c>
      <c r="I155" t="s">
        <v>486</v>
      </c>
      <c r="J155" t="s">
        <v>35</v>
      </c>
      <c r="K155" t="s">
        <v>36</v>
      </c>
      <c r="L155" t="s">
        <v>487</v>
      </c>
      <c r="M155">
        <v>2003.1679999999999</v>
      </c>
      <c r="N155">
        <v>4</v>
      </c>
      <c r="O155">
        <v>0.2</v>
      </c>
      <c r="P155">
        <v>250.39599999999999</v>
      </c>
    </row>
    <row r="156" spans="1:16" x14ac:dyDescent="0.35">
      <c r="A156" t="s">
        <v>527</v>
      </c>
      <c r="B156" s="1">
        <v>42765</v>
      </c>
      <c r="C156" t="s">
        <v>320</v>
      </c>
      <c r="D156" t="s">
        <v>608</v>
      </c>
      <c r="E156" t="s">
        <v>613</v>
      </c>
      <c r="F156" t="s">
        <v>88</v>
      </c>
      <c r="G156" t="s">
        <v>66</v>
      </c>
      <c r="H156" t="s">
        <v>48</v>
      </c>
      <c r="I156" t="s">
        <v>132</v>
      </c>
      <c r="J156" t="s">
        <v>610</v>
      </c>
      <c r="K156" t="s">
        <v>33</v>
      </c>
      <c r="L156" t="s">
        <v>133</v>
      </c>
      <c r="M156">
        <v>9.3439999999999994</v>
      </c>
      <c r="N156">
        <v>2</v>
      </c>
      <c r="O156">
        <v>0.2</v>
      </c>
      <c r="P156">
        <v>3.1536</v>
      </c>
    </row>
    <row r="157" spans="1:16" x14ac:dyDescent="0.35">
      <c r="A157" t="s">
        <v>530</v>
      </c>
      <c r="B157" s="1">
        <v>42765</v>
      </c>
      <c r="C157" t="s">
        <v>328</v>
      </c>
      <c r="D157" t="s">
        <v>609</v>
      </c>
      <c r="E157" t="s">
        <v>47</v>
      </c>
      <c r="F157" t="s">
        <v>44</v>
      </c>
      <c r="G157" t="s">
        <v>45</v>
      </c>
      <c r="H157" t="s">
        <v>21</v>
      </c>
      <c r="I157" t="s">
        <v>34</v>
      </c>
      <c r="J157" t="s">
        <v>35</v>
      </c>
      <c r="K157" t="s">
        <v>36</v>
      </c>
      <c r="L157" t="s">
        <v>37</v>
      </c>
      <c r="M157">
        <v>604.76800000000003</v>
      </c>
      <c r="N157">
        <v>4</v>
      </c>
      <c r="O157">
        <v>0.2</v>
      </c>
      <c r="P157">
        <v>60.476799999999997</v>
      </c>
    </row>
  </sheetData>
  <sortState xmlns:xlrd2="http://schemas.microsoft.com/office/spreadsheetml/2017/richdata2" ref="A3:P157">
    <sortCondition ref="B3:B157"/>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2D38D-720F-428F-9EFA-CEFF530F52D6}">
  <dimension ref="A1:P157"/>
  <sheetViews>
    <sheetView topLeftCell="A2" workbookViewId="0">
      <selection activeCell="A3" sqref="A3"/>
    </sheetView>
  </sheetViews>
  <sheetFormatPr defaultRowHeight="14.5" x14ac:dyDescent="0.35"/>
  <cols>
    <col min="1" max="1" width="14.54296875" bestFit="1" customWidth="1"/>
    <col min="2" max="2" width="9.7265625" bestFit="1" customWidth="1"/>
    <col min="3" max="3" width="10.90625" bestFit="1" customWidth="1"/>
    <col min="4" max="4" width="17.90625" customWidth="1"/>
    <col min="5" max="5" width="10.90625" bestFit="1" customWidth="1"/>
    <col min="6" max="6" width="17.1796875" bestFit="1" customWidth="1"/>
    <col min="7" max="7" width="17" bestFit="1" customWidth="1"/>
    <col min="8" max="8" width="6.81640625" bestFit="1" customWidth="1"/>
    <col min="9" max="9" width="16.08984375" bestFit="1" customWidth="1"/>
    <col min="10" max="10" width="13" customWidth="1"/>
    <col min="11" max="11" width="11.7265625" bestFit="1" customWidth="1"/>
    <col min="12" max="12" width="107.08984375" bestFit="1" customWidth="1"/>
    <col min="13" max="13" width="10.1796875" style="2" bestFit="1" customWidth="1"/>
    <col min="14" max="14" width="7.7265625" bestFit="1" customWidth="1"/>
    <col min="15" max="15" width="8.08984375" style="3" bestFit="1" customWidth="1"/>
    <col min="16" max="16" width="10.81640625" style="4" bestFit="1" customWidth="1"/>
  </cols>
  <sheetData>
    <row r="1" spans="1:16" ht="16" x14ac:dyDescent="0.4">
      <c r="A1" s="13" t="s">
        <v>615</v>
      </c>
      <c r="B1" s="14"/>
      <c r="C1" s="14"/>
      <c r="D1" s="14"/>
      <c r="E1" s="14"/>
      <c r="F1" s="14"/>
      <c r="G1" s="14"/>
      <c r="H1" s="14"/>
      <c r="I1" s="14"/>
      <c r="J1" s="14"/>
      <c r="K1" s="14"/>
      <c r="L1" s="14"/>
      <c r="M1" s="14"/>
      <c r="N1" s="14"/>
      <c r="O1" s="14"/>
      <c r="P1" s="14"/>
    </row>
    <row r="2" spans="1:16" x14ac:dyDescent="0.35">
      <c r="A2" s="6" t="s">
        <v>0</v>
      </c>
      <c r="B2" s="6" t="s">
        <v>1</v>
      </c>
      <c r="C2" s="6" t="s">
        <v>2</v>
      </c>
      <c r="D2" s="6" t="s">
        <v>616</v>
      </c>
      <c r="E2" s="6" t="s">
        <v>3</v>
      </c>
      <c r="F2" s="6" t="s">
        <v>4</v>
      </c>
      <c r="G2" s="6" t="s">
        <v>5</v>
      </c>
      <c r="H2" s="6" t="s">
        <v>6</v>
      </c>
      <c r="I2" s="6" t="s">
        <v>685</v>
      </c>
      <c r="J2" s="6" t="s">
        <v>7</v>
      </c>
      <c r="K2" s="6" t="s">
        <v>8</v>
      </c>
      <c r="L2" s="6" t="s">
        <v>686</v>
      </c>
      <c r="M2" s="7" t="s">
        <v>9</v>
      </c>
      <c r="N2" s="6" t="s">
        <v>10</v>
      </c>
      <c r="O2" s="8" t="s">
        <v>11</v>
      </c>
      <c r="P2" s="9" t="s">
        <v>12</v>
      </c>
    </row>
    <row r="3" spans="1:16" x14ac:dyDescent="0.35">
      <c r="A3" t="s">
        <v>255</v>
      </c>
      <c r="B3" s="1" t="s">
        <v>689</v>
      </c>
      <c r="C3" t="s">
        <v>256</v>
      </c>
      <c r="D3" t="s">
        <v>617</v>
      </c>
      <c r="E3" t="s">
        <v>687</v>
      </c>
      <c r="F3" t="s">
        <v>257</v>
      </c>
      <c r="G3" t="s">
        <v>95</v>
      </c>
      <c r="H3" t="s">
        <v>55</v>
      </c>
      <c r="I3" t="s">
        <v>258</v>
      </c>
      <c r="J3" t="s">
        <v>15</v>
      </c>
      <c r="K3" t="s">
        <v>31</v>
      </c>
      <c r="L3" t="s">
        <v>259</v>
      </c>
      <c r="M3" s="2">
        <v>48.896000000000001</v>
      </c>
      <c r="N3">
        <v>4</v>
      </c>
      <c r="O3" s="3">
        <v>0.2</v>
      </c>
      <c r="P3" s="4">
        <v>8.5568000000000008</v>
      </c>
    </row>
    <row r="4" spans="1:16" x14ac:dyDescent="0.35">
      <c r="A4" t="s">
        <v>468</v>
      </c>
      <c r="B4" s="1" t="s">
        <v>689</v>
      </c>
      <c r="C4" t="s">
        <v>98</v>
      </c>
      <c r="D4" t="s">
        <v>618</v>
      </c>
      <c r="E4" t="s">
        <v>687</v>
      </c>
      <c r="F4" t="s">
        <v>19</v>
      </c>
      <c r="G4" t="s">
        <v>20</v>
      </c>
      <c r="H4" t="s">
        <v>21</v>
      </c>
      <c r="I4" t="s">
        <v>469</v>
      </c>
      <c r="J4" t="s">
        <v>15</v>
      </c>
      <c r="K4" t="s">
        <v>31</v>
      </c>
      <c r="L4" t="s">
        <v>470</v>
      </c>
      <c r="M4" s="2">
        <v>474.43</v>
      </c>
      <c r="N4">
        <v>11</v>
      </c>
      <c r="O4" s="3">
        <v>0</v>
      </c>
      <c r="P4" s="4">
        <v>199.26060000000001</v>
      </c>
    </row>
    <row r="5" spans="1:16" x14ac:dyDescent="0.35">
      <c r="A5" t="s">
        <v>511</v>
      </c>
      <c r="B5" s="1" t="s">
        <v>689</v>
      </c>
      <c r="C5" t="s">
        <v>356</v>
      </c>
      <c r="D5" t="s">
        <v>619</v>
      </c>
      <c r="E5" t="s">
        <v>47</v>
      </c>
      <c r="F5" t="s">
        <v>107</v>
      </c>
      <c r="G5" t="s">
        <v>49</v>
      </c>
      <c r="H5" t="s">
        <v>48</v>
      </c>
      <c r="I5" t="s">
        <v>282</v>
      </c>
      <c r="J5" t="s">
        <v>684</v>
      </c>
      <c r="K5" t="s">
        <v>39</v>
      </c>
      <c r="L5" t="s">
        <v>283</v>
      </c>
      <c r="M5" s="2">
        <v>3.6</v>
      </c>
      <c r="N5">
        <v>2</v>
      </c>
      <c r="O5" s="3">
        <v>0</v>
      </c>
      <c r="P5" s="4">
        <v>1.728</v>
      </c>
    </row>
    <row r="6" spans="1:16" x14ac:dyDescent="0.35">
      <c r="A6" t="s">
        <v>526</v>
      </c>
      <c r="B6" s="1" t="s">
        <v>689</v>
      </c>
      <c r="C6" t="s">
        <v>90</v>
      </c>
      <c r="D6" t="s">
        <v>620</v>
      </c>
      <c r="E6" t="s">
        <v>687</v>
      </c>
      <c r="F6" t="s">
        <v>176</v>
      </c>
      <c r="G6" t="s">
        <v>688</v>
      </c>
      <c r="H6" t="s">
        <v>48</v>
      </c>
      <c r="I6" t="s">
        <v>170</v>
      </c>
      <c r="J6" t="s">
        <v>684</v>
      </c>
      <c r="K6" t="s">
        <v>27</v>
      </c>
      <c r="L6" t="s">
        <v>171</v>
      </c>
      <c r="M6" s="2">
        <v>454.56</v>
      </c>
      <c r="N6">
        <v>5</v>
      </c>
      <c r="O6" s="3">
        <v>0.2</v>
      </c>
      <c r="P6" s="4">
        <v>-107.958</v>
      </c>
    </row>
    <row r="7" spans="1:16" x14ac:dyDescent="0.35">
      <c r="A7" t="s">
        <v>526</v>
      </c>
      <c r="B7" s="1" t="s">
        <v>689</v>
      </c>
      <c r="C7" t="s">
        <v>90</v>
      </c>
      <c r="D7" t="s">
        <v>620</v>
      </c>
      <c r="E7" t="s">
        <v>687</v>
      </c>
      <c r="F7" t="s">
        <v>176</v>
      </c>
      <c r="G7" t="s">
        <v>688</v>
      </c>
      <c r="H7" t="s">
        <v>48</v>
      </c>
      <c r="I7" t="s">
        <v>442</v>
      </c>
      <c r="J7" t="s">
        <v>15</v>
      </c>
      <c r="K7" t="s">
        <v>31</v>
      </c>
      <c r="L7" t="s">
        <v>443</v>
      </c>
      <c r="M7" s="2">
        <v>141.41999999999999</v>
      </c>
      <c r="N7">
        <v>5</v>
      </c>
      <c r="O7" s="3">
        <v>0.6</v>
      </c>
      <c r="P7" s="4">
        <v>-187.38149999999999</v>
      </c>
    </row>
    <row r="8" spans="1:16" x14ac:dyDescent="0.35">
      <c r="A8" t="s">
        <v>526</v>
      </c>
      <c r="B8" s="1" t="s">
        <v>689</v>
      </c>
      <c r="C8" t="s">
        <v>90</v>
      </c>
      <c r="D8" t="s">
        <v>620</v>
      </c>
      <c r="E8" t="s">
        <v>687</v>
      </c>
      <c r="F8" t="s">
        <v>176</v>
      </c>
      <c r="G8" t="s">
        <v>688</v>
      </c>
      <c r="H8" t="s">
        <v>48</v>
      </c>
      <c r="I8" t="s">
        <v>250</v>
      </c>
      <c r="J8" t="s">
        <v>15</v>
      </c>
      <c r="K8" t="s">
        <v>17</v>
      </c>
      <c r="L8" t="s">
        <v>251</v>
      </c>
      <c r="M8" s="2">
        <v>310.74400000000003</v>
      </c>
      <c r="N8">
        <v>4</v>
      </c>
      <c r="O8" s="3">
        <v>0.3</v>
      </c>
      <c r="P8" s="4">
        <v>-26.635200000000001</v>
      </c>
    </row>
    <row r="9" spans="1:16" x14ac:dyDescent="0.35">
      <c r="A9" t="s">
        <v>526</v>
      </c>
      <c r="B9" s="1" t="s">
        <v>689</v>
      </c>
      <c r="C9" t="s">
        <v>90</v>
      </c>
      <c r="D9" t="s">
        <v>620</v>
      </c>
      <c r="E9" t="s">
        <v>687</v>
      </c>
      <c r="F9" t="s">
        <v>176</v>
      </c>
      <c r="G9" t="s">
        <v>688</v>
      </c>
      <c r="H9" t="s">
        <v>48</v>
      </c>
      <c r="I9" t="s">
        <v>268</v>
      </c>
      <c r="J9" t="s">
        <v>684</v>
      </c>
      <c r="K9" t="s">
        <v>33</v>
      </c>
      <c r="L9" t="s">
        <v>269</v>
      </c>
      <c r="M9" s="2">
        <v>12.736000000000001</v>
      </c>
      <c r="N9">
        <v>4</v>
      </c>
      <c r="O9" s="3">
        <v>0.2</v>
      </c>
      <c r="P9" s="4">
        <v>2.2288000000000001</v>
      </c>
    </row>
    <row r="10" spans="1:16" x14ac:dyDescent="0.35">
      <c r="A10" t="s">
        <v>526</v>
      </c>
      <c r="B10" s="1" t="s">
        <v>689</v>
      </c>
      <c r="C10" t="s">
        <v>90</v>
      </c>
      <c r="D10" t="s">
        <v>620</v>
      </c>
      <c r="E10" t="s">
        <v>687</v>
      </c>
      <c r="F10" t="s">
        <v>176</v>
      </c>
      <c r="G10" t="s">
        <v>688</v>
      </c>
      <c r="H10" t="s">
        <v>48</v>
      </c>
      <c r="I10" t="s">
        <v>243</v>
      </c>
      <c r="J10" t="s">
        <v>684</v>
      </c>
      <c r="K10" t="s">
        <v>39</v>
      </c>
      <c r="L10" t="s">
        <v>244</v>
      </c>
      <c r="M10" s="2">
        <v>6.47</v>
      </c>
      <c r="N10">
        <v>5</v>
      </c>
      <c r="O10" s="3">
        <v>0.8</v>
      </c>
      <c r="P10" s="4">
        <v>-9.7050000000000001</v>
      </c>
    </row>
    <row r="11" spans="1:16" x14ac:dyDescent="0.35">
      <c r="A11" t="s">
        <v>526</v>
      </c>
      <c r="B11" s="1" t="s">
        <v>689</v>
      </c>
      <c r="C11" t="s">
        <v>90</v>
      </c>
      <c r="D11" t="s">
        <v>620</v>
      </c>
      <c r="E11" t="s">
        <v>687</v>
      </c>
      <c r="F11" t="s">
        <v>176</v>
      </c>
      <c r="G11" t="s">
        <v>688</v>
      </c>
      <c r="H11" t="s">
        <v>48</v>
      </c>
      <c r="I11" t="s">
        <v>122</v>
      </c>
      <c r="J11" t="s">
        <v>684</v>
      </c>
      <c r="K11" t="s">
        <v>39</v>
      </c>
      <c r="L11" t="s">
        <v>123</v>
      </c>
      <c r="M11" s="2">
        <v>13.747999999999999</v>
      </c>
      <c r="N11">
        <v>14</v>
      </c>
      <c r="O11" s="3">
        <v>0.8</v>
      </c>
      <c r="P11" s="4">
        <v>-22.684200000000001</v>
      </c>
    </row>
    <row r="12" spans="1:16" x14ac:dyDescent="0.35">
      <c r="A12" t="s">
        <v>526</v>
      </c>
      <c r="B12" s="1" t="s">
        <v>689</v>
      </c>
      <c r="C12" t="s">
        <v>90</v>
      </c>
      <c r="D12" t="s">
        <v>620</v>
      </c>
      <c r="E12" t="s">
        <v>687</v>
      </c>
      <c r="F12" t="s">
        <v>176</v>
      </c>
      <c r="G12" t="s">
        <v>688</v>
      </c>
      <c r="H12" t="s">
        <v>48</v>
      </c>
      <c r="I12" t="s">
        <v>204</v>
      </c>
      <c r="J12" t="s">
        <v>684</v>
      </c>
      <c r="K12" t="s">
        <v>41</v>
      </c>
      <c r="L12" t="s">
        <v>205</v>
      </c>
      <c r="M12" s="2">
        <v>15.224</v>
      </c>
      <c r="N12">
        <v>2</v>
      </c>
      <c r="O12" s="3">
        <v>0.8</v>
      </c>
      <c r="P12" s="4">
        <v>-38.821199999999997</v>
      </c>
    </row>
    <row r="13" spans="1:16" x14ac:dyDescent="0.35">
      <c r="A13" t="s">
        <v>323</v>
      </c>
      <c r="B13" s="1" t="s">
        <v>690</v>
      </c>
      <c r="C13" t="s">
        <v>324</v>
      </c>
      <c r="D13" t="s">
        <v>621</v>
      </c>
      <c r="E13" t="s">
        <v>18</v>
      </c>
      <c r="F13" t="s">
        <v>163</v>
      </c>
      <c r="G13" t="s">
        <v>42</v>
      </c>
      <c r="H13" t="s">
        <v>14</v>
      </c>
      <c r="I13" t="s">
        <v>325</v>
      </c>
      <c r="J13" t="s">
        <v>35</v>
      </c>
      <c r="K13" t="s">
        <v>115</v>
      </c>
      <c r="L13" t="s">
        <v>326</v>
      </c>
      <c r="M13" s="2">
        <v>695.7</v>
      </c>
      <c r="N13">
        <v>2</v>
      </c>
      <c r="O13" s="3">
        <v>0.5</v>
      </c>
      <c r="P13" s="4">
        <v>-27.827999999999999</v>
      </c>
    </row>
    <row r="14" spans="1:16" x14ac:dyDescent="0.35">
      <c r="A14" t="s">
        <v>323</v>
      </c>
      <c r="B14" s="1" t="s">
        <v>690</v>
      </c>
      <c r="C14" t="s">
        <v>324</v>
      </c>
      <c r="D14" t="s">
        <v>621</v>
      </c>
      <c r="E14" t="s">
        <v>18</v>
      </c>
      <c r="F14" t="s">
        <v>163</v>
      </c>
      <c r="G14" t="s">
        <v>42</v>
      </c>
      <c r="H14" t="s">
        <v>14</v>
      </c>
      <c r="I14" t="s">
        <v>311</v>
      </c>
      <c r="J14" t="s">
        <v>684</v>
      </c>
      <c r="K14" t="s">
        <v>39</v>
      </c>
      <c r="L14" t="s">
        <v>312</v>
      </c>
      <c r="M14" s="2">
        <v>15.66</v>
      </c>
      <c r="N14">
        <v>5</v>
      </c>
      <c r="O14" s="3">
        <v>0.7</v>
      </c>
      <c r="P14" s="4">
        <v>-12.528</v>
      </c>
    </row>
    <row r="15" spans="1:16" x14ac:dyDescent="0.35">
      <c r="A15" t="s">
        <v>323</v>
      </c>
      <c r="B15" s="1" t="s">
        <v>690</v>
      </c>
      <c r="C15" t="s">
        <v>324</v>
      </c>
      <c r="D15" t="s">
        <v>621</v>
      </c>
      <c r="E15" t="s">
        <v>18</v>
      </c>
      <c r="F15" t="s">
        <v>163</v>
      </c>
      <c r="G15" t="s">
        <v>42</v>
      </c>
      <c r="H15" t="s">
        <v>14</v>
      </c>
      <c r="I15" t="s">
        <v>60</v>
      </c>
      <c r="J15" t="s">
        <v>684</v>
      </c>
      <c r="K15" t="s">
        <v>39</v>
      </c>
      <c r="L15" t="s">
        <v>61</v>
      </c>
      <c r="M15" s="2">
        <v>28.853999999999999</v>
      </c>
      <c r="N15">
        <v>6</v>
      </c>
      <c r="O15" s="3">
        <v>0.7</v>
      </c>
      <c r="P15" s="4">
        <v>-21.159600000000001</v>
      </c>
    </row>
    <row r="16" spans="1:16" x14ac:dyDescent="0.35">
      <c r="A16" t="s">
        <v>529</v>
      </c>
      <c r="B16" s="1" t="s">
        <v>690</v>
      </c>
      <c r="C16" t="s">
        <v>504</v>
      </c>
      <c r="D16" t="s">
        <v>622</v>
      </c>
      <c r="E16" t="s">
        <v>687</v>
      </c>
      <c r="F16" t="s">
        <v>352</v>
      </c>
      <c r="G16" t="s">
        <v>688</v>
      </c>
      <c r="H16" t="s">
        <v>48</v>
      </c>
      <c r="I16" t="s">
        <v>348</v>
      </c>
      <c r="J16" t="s">
        <v>684</v>
      </c>
      <c r="K16" t="s">
        <v>33</v>
      </c>
      <c r="L16" t="s">
        <v>349</v>
      </c>
      <c r="M16" s="2">
        <v>31.744</v>
      </c>
      <c r="N16">
        <v>2</v>
      </c>
      <c r="O16" s="3">
        <v>0.2</v>
      </c>
      <c r="P16" s="4">
        <v>3.968</v>
      </c>
    </row>
    <row r="17" spans="1:16" x14ac:dyDescent="0.35">
      <c r="A17" t="s">
        <v>529</v>
      </c>
      <c r="B17" s="1" t="s">
        <v>690</v>
      </c>
      <c r="C17" t="s">
        <v>504</v>
      </c>
      <c r="D17" t="s">
        <v>622</v>
      </c>
      <c r="E17" t="s">
        <v>687</v>
      </c>
      <c r="F17" t="s">
        <v>352</v>
      </c>
      <c r="G17" t="s">
        <v>688</v>
      </c>
      <c r="H17" t="s">
        <v>48</v>
      </c>
      <c r="I17" t="s">
        <v>522</v>
      </c>
      <c r="J17" t="s">
        <v>684</v>
      </c>
      <c r="K17" t="s">
        <v>41</v>
      </c>
      <c r="L17" t="s">
        <v>523</v>
      </c>
      <c r="M17" s="2">
        <v>5.4320000000000004</v>
      </c>
      <c r="N17">
        <v>2</v>
      </c>
      <c r="O17" s="3">
        <v>0.8</v>
      </c>
      <c r="P17" s="4">
        <v>-13.58</v>
      </c>
    </row>
    <row r="18" spans="1:16" x14ac:dyDescent="0.35">
      <c r="A18" t="s">
        <v>529</v>
      </c>
      <c r="B18" s="1" t="s">
        <v>690</v>
      </c>
      <c r="C18" t="s">
        <v>504</v>
      </c>
      <c r="D18" t="s">
        <v>622</v>
      </c>
      <c r="E18" t="s">
        <v>687</v>
      </c>
      <c r="F18" t="s">
        <v>352</v>
      </c>
      <c r="G18" t="s">
        <v>688</v>
      </c>
      <c r="H18" t="s">
        <v>48</v>
      </c>
      <c r="I18" t="s">
        <v>334</v>
      </c>
      <c r="J18" t="s">
        <v>15</v>
      </c>
      <c r="K18" t="s">
        <v>25</v>
      </c>
      <c r="L18" t="s">
        <v>335</v>
      </c>
      <c r="M18" s="2">
        <v>913.43</v>
      </c>
      <c r="N18">
        <v>5</v>
      </c>
      <c r="O18" s="3">
        <v>0.3</v>
      </c>
      <c r="P18" s="4">
        <v>-169.637</v>
      </c>
    </row>
    <row r="19" spans="1:16" x14ac:dyDescent="0.35">
      <c r="A19" t="s">
        <v>529</v>
      </c>
      <c r="B19" s="1" t="s">
        <v>690</v>
      </c>
      <c r="C19" t="s">
        <v>504</v>
      </c>
      <c r="D19" t="s">
        <v>622</v>
      </c>
      <c r="E19" t="s">
        <v>687</v>
      </c>
      <c r="F19" t="s">
        <v>352</v>
      </c>
      <c r="G19" t="s">
        <v>688</v>
      </c>
      <c r="H19" t="s">
        <v>48</v>
      </c>
      <c r="I19" t="s">
        <v>439</v>
      </c>
      <c r="J19" t="s">
        <v>684</v>
      </c>
      <c r="K19" t="s">
        <v>27</v>
      </c>
      <c r="L19" t="s">
        <v>440</v>
      </c>
      <c r="M19" s="2">
        <v>372.14400000000001</v>
      </c>
      <c r="N19">
        <v>3</v>
      </c>
      <c r="O19" s="3">
        <v>0.2</v>
      </c>
      <c r="P19" s="4">
        <v>27.910799999999998</v>
      </c>
    </row>
    <row r="20" spans="1:16" x14ac:dyDescent="0.35">
      <c r="A20" t="s">
        <v>538</v>
      </c>
      <c r="B20" s="1" t="s">
        <v>690</v>
      </c>
      <c r="C20" t="s">
        <v>521</v>
      </c>
      <c r="D20" t="s">
        <v>623</v>
      </c>
      <c r="E20" t="s">
        <v>18</v>
      </c>
      <c r="F20" t="s">
        <v>19</v>
      </c>
      <c r="G20" t="s">
        <v>20</v>
      </c>
      <c r="H20" t="s">
        <v>21</v>
      </c>
      <c r="I20" t="s">
        <v>419</v>
      </c>
      <c r="J20" t="s">
        <v>35</v>
      </c>
      <c r="K20" t="s">
        <v>58</v>
      </c>
      <c r="L20" t="s">
        <v>420</v>
      </c>
      <c r="M20" s="2">
        <v>16.59</v>
      </c>
      <c r="N20">
        <v>1</v>
      </c>
      <c r="O20" s="3">
        <v>0</v>
      </c>
      <c r="P20" s="4">
        <v>5.8064999999999998</v>
      </c>
    </row>
    <row r="21" spans="1:16" x14ac:dyDescent="0.35">
      <c r="A21" t="s">
        <v>492</v>
      </c>
      <c r="B21" s="1" t="s">
        <v>691</v>
      </c>
      <c r="C21" t="s">
        <v>129</v>
      </c>
      <c r="D21" t="s">
        <v>624</v>
      </c>
      <c r="E21" t="s">
        <v>687</v>
      </c>
      <c r="F21" t="s">
        <v>391</v>
      </c>
      <c r="G21" t="s">
        <v>20</v>
      </c>
      <c r="H21" t="s">
        <v>21</v>
      </c>
      <c r="I21" t="s">
        <v>307</v>
      </c>
      <c r="J21" t="s">
        <v>684</v>
      </c>
      <c r="K21" t="s">
        <v>43</v>
      </c>
      <c r="L21" t="s">
        <v>308</v>
      </c>
      <c r="M21" s="2">
        <v>38.880000000000003</v>
      </c>
      <c r="N21">
        <v>6</v>
      </c>
      <c r="O21" s="3">
        <v>0</v>
      </c>
      <c r="P21" s="4">
        <v>18.662400000000002</v>
      </c>
    </row>
    <row r="22" spans="1:16" x14ac:dyDescent="0.35">
      <c r="A22" t="s">
        <v>535</v>
      </c>
      <c r="B22" s="1" t="s">
        <v>691</v>
      </c>
      <c r="C22" t="s">
        <v>182</v>
      </c>
      <c r="D22" t="s">
        <v>625</v>
      </c>
      <c r="E22" t="s">
        <v>687</v>
      </c>
      <c r="F22" t="s">
        <v>50</v>
      </c>
      <c r="G22" t="s">
        <v>20</v>
      </c>
      <c r="H22" t="s">
        <v>21</v>
      </c>
      <c r="I22" t="s">
        <v>161</v>
      </c>
      <c r="J22" t="s">
        <v>684</v>
      </c>
      <c r="K22" t="s">
        <v>39</v>
      </c>
      <c r="L22" t="s">
        <v>162</v>
      </c>
      <c r="M22" s="2">
        <v>2022.2719999999999</v>
      </c>
      <c r="N22">
        <v>8</v>
      </c>
      <c r="O22" s="3">
        <v>0.2</v>
      </c>
      <c r="P22" s="4">
        <v>682.51679999999999</v>
      </c>
    </row>
    <row r="23" spans="1:16" x14ac:dyDescent="0.35">
      <c r="A23" t="s">
        <v>535</v>
      </c>
      <c r="B23" s="1" t="s">
        <v>691</v>
      </c>
      <c r="C23" t="s">
        <v>182</v>
      </c>
      <c r="D23" t="s">
        <v>625</v>
      </c>
      <c r="E23" t="s">
        <v>687</v>
      </c>
      <c r="F23" t="s">
        <v>50</v>
      </c>
      <c r="G23" t="s">
        <v>20</v>
      </c>
      <c r="H23" t="s">
        <v>21</v>
      </c>
      <c r="I23" t="s">
        <v>405</v>
      </c>
      <c r="J23" t="s">
        <v>684</v>
      </c>
      <c r="K23" t="s">
        <v>33</v>
      </c>
      <c r="L23" t="s">
        <v>406</v>
      </c>
      <c r="M23" s="2">
        <v>9.1199999999999992</v>
      </c>
      <c r="N23">
        <v>3</v>
      </c>
      <c r="O23" s="3">
        <v>0</v>
      </c>
      <c r="P23" s="4">
        <v>3.1008</v>
      </c>
    </row>
    <row r="24" spans="1:16" x14ac:dyDescent="0.35">
      <c r="A24" t="s">
        <v>484</v>
      </c>
      <c r="B24" s="1" t="s">
        <v>692</v>
      </c>
      <c r="C24" t="s">
        <v>356</v>
      </c>
      <c r="D24" t="s">
        <v>619</v>
      </c>
      <c r="E24" t="s">
        <v>47</v>
      </c>
      <c r="F24" t="s">
        <v>485</v>
      </c>
      <c r="G24" t="s">
        <v>83</v>
      </c>
      <c r="H24" t="s">
        <v>14</v>
      </c>
      <c r="I24" t="s">
        <v>210</v>
      </c>
      <c r="J24" t="s">
        <v>684</v>
      </c>
      <c r="K24" t="s">
        <v>39</v>
      </c>
      <c r="L24" t="s">
        <v>211</v>
      </c>
      <c r="M24" s="2">
        <v>33.74</v>
      </c>
      <c r="N24">
        <v>7</v>
      </c>
      <c r="O24" s="3">
        <v>0</v>
      </c>
      <c r="P24" s="4">
        <v>15.5204</v>
      </c>
    </row>
    <row r="25" spans="1:16" x14ac:dyDescent="0.35">
      <c r="A25" t="s">
        <v>284</v>
      </c>
      <c r="B25" s="1" t="s">
        <v>693</v>
      </c>
      <c r="C25" t="s">
        <v>254</v>
      </c>
      <c r="D25" t="s">
        <v>626</v>
      </c>
      <c r="E25" t="s">
        <v>18</v>
      </c>
      <c r="F25" t="s">
        <v>125</v>
      </c>
      <c r="G25" t="s">
        <v>69</v>
      </c>
      <c r="H25" t="s">
        <v>48</v>
      </c>
      <c r="I25" t="s">
        <v>114</v>
      </c>
      <c r="J25" t="s">
        <v>35</v>
      </c>
      <c r="K25" t="s">
        <v>115</v>
      </c>
      <c r="L25" t="s">
        <v>116</v>
      </c>
      <c r="M25" s="2">
        <v>3059.982</v>
      </c>
      <c r="N25">
        <v>2</v>
      </c>
      <c r="O25" s="3">
        <v>0.1</v>
      </c>
      <c r="P25" s="4">
        <v>679.99599999999998</v>
      </c>
    </row>
    <row r="26" spans="1:16" x14ac:dyDescent="0.35">
      <c r="A26" t="s">
        <v>394</v>
      </c>
      <c r="B26" s="1" t="s">
        <v>693</v>
      </c>
      <c r="C26" t="s">
        <v>343</v>
      </c>
      <c r="D26" t="s">
        <v>627</v>
      </c>
      <c r="E26" t="s">
        <v>687</v>
      </c>
      <c r="F26" t="s">
        <v>395</v>
      </c>
      <c r="G26" t="s">
        <v>24</v>
      </c>
      <c r="H26" t="s">
        <v>14</v>
      </c>
      <c r="I26" t="s">
        <v>276</v>
      </c>
      <c r="J26" t="s">
        <v>684</v>
      </c>
      <c r="K26" t="s">
        <v>39</v>
      </c>
      <c r="L26" t="s">
        <v>277</v>
      </c>
      <c r="M26" s="2">
        <v>2.8079999999999998</v>
      </c>
      <c r="N26">
        <v>3</v>
      </c>
      <c r="O26" s="3">
        <v>0.7</v>
      </c>
      <c r="P26" s="4">
        <v>-1.9656</v>
      </c>
    </row>
    <row r="27" spans="1:16" x14ac:dyDescent="0.35">
      <c r="A27" t="s">
        <v>519</v>
      </c>
      <c r="B27" s="1" t="s">
        <v>693</v>
      </c>
      <c r="C27" t="s">
        <v>322</v>
      </c>
      <c r="D27" t="s">
        <v>628</v>
      </c>
      <c r="E27" t="s">
        <v>687</v>
      </c>
      <c r="F27" t="s">
        <v>140</v>
      </c>
      <c r="G27" t="s">
        <v>20</v>
      </c>
      <c r="H27" t="s">
        <v>21</v>
      </c>
      <c r="I27" t="s">
        <v>26</v>
      </c>
      <c r="J27" t="s">
        <v>684</v>
      </c>
      <c r="K27" t="s">
        <v>27</v>
      </c>
      <c r="L27" t="s">
        <v>28</v>
      </c>
      <c r="M27" s="2">
        <v>153.78</v>
      </c>
      <c r="N27">
        <v>11</v>
      </c>
      <c r="O27" s="3">
        <v>0</v>
      </c>
      <c r="P27" s="4">
        <v>44.596200000000003</v>
      </c>
    </row>
    <row r="28" spans="1:16" x14ac:dyDescent="0.35">
      <c r="A28" t="s">
        <v>519</v>
      </c>
      <c r="B28" s="1" t="s">
        <v>693</v>
      </c>
      <c r="C28" t="s">
        <v>322</v>
      </c>
      <c r="D28" t="s">
        <v>628</v>
      </c>
      <c r="E28" t="s">
        <v>687</v>
      </c>
      <c r="F28" t="s">
        <v>140</v>
      </c>
      <c r="G28" t="s">
        <v>20</v>
      </c>
      <c r="H28" t="s">
        <v>21</v>
      </c>
      <c r="I28" t="s">
        <v>451</v>
      </c>
      <c r="J28" t="s">
        <v>684</v>
      </c>
      <c r="K28" t="s">
        <v>27</v>
      </c>
      <c r="L28" t="s">
        <v>452</v>
      </c>
      <c r="M28" s="2">
        <v>61.02</v>
      </c>
      <c r="N28">
        <v>3</v>
      </c>
      <c r="O28" s="3">
        <v>0</v>
      </c>
      <c r="P28" s="4">
        <v>0.61019999999999996</v>
      </c>
    </row>
    <row r="29" spans="1:16" x14ac:dyDescent="0.35">
      <c r="A29" t="s">
        <v>519</v>
      </c>
      <c r="B29" s="1" t="s">
        <v>693</v>
      </c>
      <c r="C29" t="s">
        <v>322</v>
      </c>
      <c r="D29" t="s">
        <v>628</v>
      </c>
      <c r="E29" t="s">
        <v>687</v>
      </c>
      <c r="F29" t="s">
        <v>140</v>
      </c>
      <c r="G29" t="s">
        <v>20</v>
      </c>
      <c r="H29" t="s">
        <v>21</v>
      </c>
      <c r="I29" t="s">
        <v>513</v>
      </c>
      <c r="J29" t="s">
        <v>684</v>
      </c>
      <c r="K29" t="s">
        <v>105</v>
      </c>
      <c r="L29" t="s">
        <v>514</v>
      </c>
      <c r="M29" s="2">
        <v>110.11</v>
      </c>
      <c r="N29">
        <v>7</v>
      </c>
      <c r="O29" s="3">
        <v>0</v>
      </c>
      <c r="P29" s="4">
        <v>31.931899999999999</v>
      </c>
    </row>
    <row r="30" spans="1:16" x14ac:dyDescent="0.35">
      <c r="A30" t="s">
        <v>519</v>
      </c>
      <c r="B30" s="1" t="s">
        <v>693</v>
      </c>
      <c r="C30" t="s">
        <v>322</v>
      </c>
      <c r="D30" t="s">
        <v>628</v>
      </c>
      <c r="E30" t="s">
        <v>687</v>
      </c>
      <c r="F30" t="s">
        <v>140</v>
      </c>
      <c r="G30" t="s">
        <v>20</v>
      </c>
      <c r="H30" t="s">
        <v>21</v>
      </c>
      <c r="I30" t="s">
        <v>212</v>
      </c>
      <c r="J30" t="s">
        <v>684</v>
      </c>
      <c r="K30" t="s">
        <v>73</v>
      </c>
      <c r="L30" t="s">
        <v>102</v>
      </c>
      <c r="M30" s="2">
        <v>7.89</v>
      </c>
      <c r="N30">
        <v>1</v>
      </c>
      <c r="O30" s="3">
        <v>0</v>
      </c>
      <c r="P30" s="4">
        <v>3.5505</v>
      </c>
    </row>
    <row r="31" spans="1:16" x14ac:dyDescent="0.35">
      <c r="A31" t="s">
        <v>408</v>
      </c>
      <c r="B31" s="1" t="s">
        <v>694</v>
      </c>
      <c r="C31" t="s">
        <v>409</v>
      </c>
      <c r="D31" t="s">
        <v>629</v>
      </c>
      <c r="E31" t="s">
        <v>18</v>
      </c>
      <c r="F31" t="s">
        <v>44</v>
      </c>
      <c r="G31" t="s">
        <v>45</v>
      </c>
      <c r="H31" t="s">
        <v>21</v>
      </c>
      <c r="I31" t="s">
        <v>410</v>
      </c>
      <c r="J31" t="s">
        <v>15</v>
      </c>
      <c r="K31" t="s">
        <v>25</v>
      </c>
      <c r="L31" t="s">
        <v>411</v>
      </c>
      <c r="M31" s="2">
        <v>892.98</v>
      </c>
      <c r="N31">
        <v>2</v>
      </c>
      <c r="O31" s="3">
        <v>0</v>
      </c>
      <c r="P31" s="4">
        <v>80.368200000000002</v>
      </c>
    </row>
    <row r="32" spans="1:16" x14ac:dyDescent="0.35">
      <c r="A32" t="s">
        <v>517</v>
      </c>
      <c r="B32" s="1" t="s">
        <v>695</v>
      </c>
      <c r="C32" t="s">
        <v>327</v>
      </c>
      <c r="D32" t="s">
        <v>630</v>
      </c>
      <c r="E32" t="s">
        <v>687</v>
      </c>
      <c r="F32" t="s">
        <v>53</v>
      </c>
      <c r="G32" t="s">
        <v>54</v>
      </c>
      <c r="H32" t="s">
        <v>55</v>
      </c>
      <c r="I32" t="s">
        <v>223</v>
      </c>
      <c r="J32" t="s">
        <v>684</v>
      </c>
      <c r="K32" t="s">
        <v>39</v>
      </c>
      <c r="L32" t="s">
        <v>224</v>
      </c>
      <c r="M32" s="2">
        <v>274.49099999999999</v>
      </c>
      <c r="N32">
        <v>3</v>
      </c>
      <c r="O32" s="3">
        <v>0.7</v>
      </c>
      <c r="P32" s="4">
        <v>-228.74250000000001</v>
      </c>
    </row>
    <row r="33" spans="1:16" x14ac:dyDescent="0.35">
      <c r="A33" t="s">
        <v>372</v>
      </c>
      <c r="B33" s="1" t="s">
        <v>696</v>
      </c>
      <c r="C33" t="s">
        <v>367</v>
      </c>
      <c r="D33" t="s">
        <v>631</v>
      </c>
      <c r="E33" t="s">
        <v>47</v>
      </c>
      <c r="F33" t="s">
        <v>45</v>
      </c>
      <c r="G33" t="s">
        <v>290</v>
      </c>
      <c r="H33" t="s">
        <v>55</v>
      </c>
      <c r="I33" t="s">
        <v>103</v>
      </c>
      <c r="J33" t="s">
        <v>684</v>
      </c>
      <c r="K33" t="s">
        <v>43</v>
      </c>
      <c r="L33" t="s">
        <v>104</v>
      </c>
      <c r="M33" s="2">
        <v>40.08</v>
      </c>
      <c r="N33">
        <v>6</v>
      </c>
      <c r="O33" s="3">
        <v>0</v>
      </c>
      <c r="P33" s="4">
        <v>19.238399999999999</v>
      </c>
    </row>
    <row r="34" spans="1:16" x14ac:dyDescent="0.35">
      <c r="A34" t="s">
        <v>372</v>
      </c>
      <c r="B34" s="1" t="s">
        <v>696</v>
      </c>
      <c r="C34" t="s">
        <v>367</v>
      </c>
      <c r="D34" t="s">
        <v>631</v>
      </c>
      <c r="E34" t="s">
        <v>47</v>
      </c>
      <c r="F34" t="s">
        <v>45</v>
      </c>
      <c r="G34" t="s">
        <v>290</v>
      </c>
      <c r="H34" t="s">
        <v>55</v>
      </c>
      <c r="I34" t="s">
        <v>373</v>
      </c>
      <c r="J34" t="s">
        <v>15</v>
      </c>
      <c r="K34" t="s">
        <v>31</v>
      </c>
      <c r="L34" t="s">
        <v>374</v>
      </c>
      <c r="M34" s="2">
        <v>37.68</v>
      </c>
      <c r="N34">
        <v>2</v>
      </c>
      <c r="O34" s="3">
        <v>0</v>
      </c>
      <c r="P34" s="4">
        <v>15.8256</v>
      </c>
    </row>
    <row r="35" spans="1:16" x14ac:dyDescent="0.35">
      <c r="A35" t="s">
        <v>503</v>
      </c>
      <c r="B35" s="1" t="s">
        <v>696</v>
      </c>
      <c r="C35" t="s">
        <v>261</v>
      </c>
      <c r="D35" t="s">
        <v>632</v>
      </c>
      <c r="E35" t="s">
        <v>18</v>
      </c>
      <c r="F35" t="s">
        <v>50</v>
      </c>
      <c r="G35" t="s">
        <v>20</v>
      </c>
      <c r="H35" t="s">
        <v>21</v>
      </c>
      <c r="I35" t="s">
        <v>376</v>
      </c>
      <c r="J35" t="s">
        <v>684</v>
      </c>
      <c r="K35" t="s">
        <v>63</v>
      </c>
      <c r="L35" t="s">
        <v>113</v>
      </c>
      <c r="M35" s="2">
        <v>9.7799999999999994</v>
      </c>
      <c r="N35">
        <v>1</v>
      </c>
      <c r="O35" s="3">
        <v>0</v>
      </c>
      <c r="P35" s="4">
        <v>4.8899999999999997</v>
      </c>
    </row>
    <row r="36" spans="1:16" x14ac:dyDescent="0.35">
      <c r="A36" t="s">
        <v>532</v>
      </c>
      <c r="B36" s="1" t="s">
        <v>696</v>
      </c>
      <c r="C36" t="s">
        <v>126</v>
      </c>
      <c r="D36" t="s">
        <v>633</v>
      </c>
      <c r="E36" t="s">
        <v>18</v>
      </c>
      <c r="F36" t="s">
        <v>124</v>
      </c>
      <c r="G36" t="s">
        <v>688</v>
      </c>
      <c r="H36" t="s">
        <v>48</v>
      </c>
      <c r="I36" t="s">
        <v>262</v>
      </c>
      <c r="J36" t="s">
        <v>684</v>
      </c>
      <c r="K36" t="s">
        <v>39</v>
      </c>
      <c r="L36" t="s">
        <v>263</v>
      </c>
      <c r="M36" s="2">
        <v>760.98</v>
      </c>
      <c r="N36">
        <v>5</v>
      </c>
      <c r="O36" s="3">
        <v>0.8</v>
      </c>
      <c r="P36" s="4">
        <v>-1141.47</v>
      </c>
    </row>
    <row r="37" spans="1:16" x14ac:dyDescent="0.35">
      <c r="A37" t="s">
        <v>510</v>
      </c>
      <c r="B37" s="1" t="s">
        <v>697</v>
      </c>
      <c r="C37" t="s">
        <v>321</v>
      </c>
      <c r="D37" t="s">
        <v>634</v>
      </c>
      <c r="E37" t="s">
        <v>18</v>
      </c>
      <c r="F37" t="s">
        <v>76</v>
      </c>
      <c r="G37" t="s">
        <v>106</v>
      </c>
      <c r="H37" t="s">
        <v>48</v>
      </c>
      <c r="I37" t="s">
        <v>417</v>
      </c>
      <c r="J37" t="s">
        <v>684</v>
      </c>
      <c r="K37" t="s">
        <v>43</v>
      </c>
      <c r="L37" t="s">
        <v>418</v>
      </c>
      <c r="M37" s="2">
        <v>32.4</v>
      </c>
      <c r="N37">
        <v>5</v>
      </c>
      <c r="O37" s="3">
        <v>0</v>
      </c>
      <c r="P37" s="4">
        <v>15.552</v>
      </c>
    </row>
    <row r="38" spans="1:16" x14ac:dyDescent="0.35">
      <c r="A38" t="s">
        <v>510</v>
      </c>
      <c r="B38" s="1" t="s">
        <v>697</v>
      </c>
      <c r="C38" t="s">
        <v>321</v>
      </c>
      <c r="D38" t="s">
        <v>634</v>
      </c>
      <c r="E38" t="s">
        <v>18</v>
      </c>
      <c r="F38" t="s">
        <v>76</v>
      </c>
      <c r="G38" t="s">
        <v>106</v>
      </c>
      <c r="H38" t="s">
        <v>48</v>
      </c>
      <c r="I38" t="s">
        <v>499</v>
      </c>
      <c r="J38" t="s">
        <v>684</v>
      </c>
      <c r="K38" t="s">
        <v>33</v>
      </c>
      <c r="L38" t="s">
        <v>500</v>
      </c>
      <c r="M38" s="2">
        <v>209.94</v>
      </c>
      <c r="N38">
        <v>6</v>
      </c>
      <c r="O38" s="3">
        <v>0</v>
      </c>
      <c r="P38" s="4">
        <v>54.584400000000002</v>
      </c>
    </row>
    <row r="39" spans="1:16" x14ac:dyDescent="0.35">
      <c r="A39" t="s">
        <v>510</v>
      </c>
      <c r="B39" s="1" t="s">
        <v>697</v>
      </c>
      <c r="C39" t="s">
        <v>321</v>
      </c>
      <c r="D39" t="s">
        <v>634</v>
      </c>
      <c r="E39" t="s">
        <v>18</v>
      </c>
      <c r="F39" t="s">
        <v>76</v>
      </c>
      <c r="G39" t="s">
        <v>106</v>
      </c>
      <c r="H39" t="s">
        <v>48</v>
      </c>
      <c r="I39" t="s">
        <v>198</v>
      </c>
      <c r="J39" t="s">
        <v>684</v>
      </c>
      <c r="K39" t="s">
        <v>105</v>
      </c>
      <c r="L39" t="s">
        <v>199</v>
      </c>
      <c r="M39" s="2">
        <v>4164.05</v>
      </c>
      <c r="N39">
        <v>5</v>
      </c>
      <c r="O39" s="3">
        <v>0</v>
      </c>
      <c r="P39" s="4">
        <v>83.281000000000006</v>
      </c>
    </row>
    <row r="40" spans="1:16" x14ac:dyDescent="0.35">
      <c r="A40" t="s">
        <v>510</v>
      </c>
      <c r="B40" s="1" t="s">
        <v>697</v>
      </c>
      <c r="C40" t="s">
        <v>321</v>
      </c>
      <c r="D40" t="s">
        <v>634</v>
      </c>
      <c r="E40" t="s">
        <v>18</v>
      </c>
      <c r="F40" t="s">
        <v>76</v>
      </c>
      <c r="G40" t="s">
        <v>106</v>
      </c>
      <c r="H40" t="s">
        <v>48</v>
      </c>
      <c r="I40" t="s">
        <v>454</v>
      </c>
      <c r="J40" t="s">
        <v>15</v>
      </c>
      <c r="K40" t="s">
        <v>16</v>
      </c>
      <c r="L40" t="s">
        <v>455</v>
      </c>
      <c r="M40" s="2">
        <v>212.94</v>
      </c>
      <c r="N40">
        <v>3</v>
      </c>
      <c r="O40" s="3">
        <v>0</v>
      </c>
      <c r="P40" s="4">
        <v>53.234999999999999</v>
      </c>
    </row>
    <row r="41" spans="1:16" x14ac:dyDescent="0.35">
      <c r="A41" t="s">
        <v>313</v>
      </c>
      <c r="B41" s="1" t="s">
        <v>698</v>
      </c>
      <c r="C41" t="s">
        <v>222</v>
      </c>
      <c r="D41" t="s">
        <v>635</v>
      </c>
      <c r="E41" t="s">
        <v>687</v>
      </c>
      <c r="F41" t="s">
        <v>163</v>
      </c>
      <c r="G41" t="s">
        <v>42</v>
      </c>
      <c r="H41" t="s">
        <v>14</v>
      </c>
      <c r="I41" t="s">
        <v>96</v>
      </c>
      <c r="J41" t="s">
        <v>684</v>
      </c>
      <c r="K41" t="s">
        <v>63</v>
      </c>
      <c r="L41" t="s">
        <v>97</v>
      </c>
      <c r="M41" s="2">
        <v>21.744</v>
      </c>
      <c r="N41">
        <v>1</v>
      </c>
      <c r="O41" s="3">
        <v>0.2</v>
      </c>
      <c r="P41" s="4">
        <v>7.3385999999999996</v>
      </c>
    </row>
    <row r="42" spans="1:16" x14ac:dyDescent="0.35">
      <c r="A42" t="s">
        <v>313</v>
      </c>
      <c r="B42" s="1" t="s">
        <v>698</v>
      </c>
      <c r="C42" t="s">
        <v>222</v>
      </c>
      <c r="D42" t="s">
        <v>635</v>
      </c>
      <c r="E42" t="s">
        <v>687</v>
      </c>
      <c r="F42" t="s">
        <v>163</v>
      </c>
      <c r="G42" t="s">
        <v>42</v>
      </c>
      <c r="H42" t="s">
        <v>14</v>
      </c>
      <c r="I42" t="s">
        <v>314</v>
      </c>
      <c r="J42" t="s">
        <v>35</v>
      </c>
      <c r="K42" t="s">
        <v>36</v>
      </c>
      <c r="L42" t="s">
        <v>315</v>
      </c>
      <c r="M42" s="2">
        <v>7.92</v>
      </c>
      <c r="N42">
        <v>5</v>
      </c>
      <c r="O42" s="3">
        <v>0.2</v>
      </c>
      <c r="P42" s="4">
        <v>0.69299999999999995</v>
      </c>
    </row>
    <row r="43" spans="1:16" x14ac:dyDescent="0.35">
      <c r="A43" t="s">
        <v>475</v>
      </c>
      <c r="B43" s="1" t="s">
        <v>698</v>
      </c>
      <c r="C43" t="s">
        <v>476</v>
      </c>
      <c r="D43" t="s">
        <v>636</v>
      </c>
      <c r="E43" t="s">
        <v>18</v>
      </c>
      <c r="F43" t="s">
        <v>88</v>
      </c>
      <c r="G43" t="s">
        <v>89</v>
      </c>
      <c r="H43" t="s">
        <v>21</v>
      </c>
      <c r="I43" t="s">
        <v>57</v>
      </c>
      <c r="J43" t="s">
        <v>35</v>
      </c>
      <c r="K43" t="s">
        <v>58</v>
      </c>
      <c r="L43" t="s">
        <v>59</v>
      </c>
      <c r="M43" s="2">
        <v>169.06399999999999</v>
      </c>
      <c r="N43">
        <v>7</v>
      </c>
      <c r="O43" s="3">
        <v>0.2</v>
      </c>
      <c r="P43" s="4">
        <v>-14.793100000000001</v>
      </c>
    </row>
    <row r="44" spans="1:16" x14ac:dyDescent="0.35">
      <c r="A44" t="s">
        <v>475</v>
      </c>
      <c r="B44" s="1" t="s">
        <v>698</v>
      </c>
      <c r="C44" t="s">
        <v>476</v>
      </c>
      <c r="D44" t="s">
        <v>636</v>
      </c>
      <c r="E44" t="s">
        <v>18</v>
      </c>
      <c r="F44" t="s">
        <v>88</v>
      </c>
      <c r="G44" t="s">
        <v>89</v>
      </c>
      <c r="H44" t="s">
        <v>21</v>
      </c>
      <c r="I44" t="s">
        <v>392</v>
      </c>
      <c r="J44" t="s">
        <v>684</v>
      </c>
      <c r="K44" t="s">
        <v>27</v>
      </c>
      <c r="L44" t="s">
        <v>393</v>
      </c>
      <c r="M44" s="2">
        <v>168.624</v>
      </c>
      <c r="N44">
        <v>9</v>
      </c>
      <c r="O44" s="3">
        <v>0.2</v>
      </c>
      <c r="P44" s="4">
        <v>14.7546</v>
      </c>
    </row>
    <row r="45" spans="1:16" x14ac:dyDescent="0.35">
      <c r="A45" t="s">
        <v>483</v>
      </c>
      <c r="B45" s="1" t="s">
        <v>698</v>
      </c>
      <c r="C45" t="s">
        <v>29</v>
      </c>
      <c r="D45" t="s">
        <v>637</v>
      </c>
      <c r="E45" t="s">
        <v>687</v>
      </c>
      <c r="F45" t="s">
        <v>387</v>
      </c>
      <c r="G45" t="s">
        <v>80</v>
      </c>
      <c r="H45" t="s">
        <v>14</v>
      </c>
      <c r="I45" t="s">
        <v>226</v>
      </c>
      <c r="J45" t="s">
        <v>684</v>
      </c>
      <c r="K45" t="s">
        <v>63</v>
      </c>
      <c r="L45" t="s">
        <v>227</v>
      </c>
      <c r="M45" s="2">
        <v>18.335999999999999</v>
      </c>
      <c r="N45">
        <v>3</v>
      </c>
      <c r="O45" s="3">
        <v>0.2</v>
      </c>
      <c r="P45" s="4">
        <v>6.6467999999999998</v>
      </c>
    </row>
    <row r="46" spans="1:16" x14ac:dyDescent="0.35">
      <c r="A46" t="s">
        <v>483</v>
      </c>
      <c r="B46" s="1" t="s">
        <v>698</v>
      </c>
      <c r="C46" t="s">
        <v>29</v>
      </c>
      <c r="D46" t="s">
        <v>637</v>
      </c>
      <c r="E46" t="s">
        <v>687</v>
      </c>
      <c r="F46" t="s">
        <v>387</v>
      </c>
      <c r="G46" t="s">
        <v>80</v>
      </c>
      <c r="H46" t="s">
        <v>14</v>
      </c>
      <c r="I46" t="s">
        <v>272</v>
      </c>
      <c r="J46" t="s">
        <v>684</v>
      </c>
      <c r="K46" t="s">
        <v>43</v>
      </c>
      <c r="L46" t="s">
        <v>273</v>
      </c>
      <c r="M46" s="2">
        <v>36.287999999999997</v>
      </c>
      <c r="N46">
        <v>7</v>
      </c>
      <c r="O46" s="3">
        <v>0.2</v>
      </c>
      <c r="P46" s="4">
        <v>12.700799999999999</v>
      </c>
    </row>
    <row r="47" spans="1:16" x14ac:dyDescent="0.35">
      <c r="A47" t="s">
        <v>483</v>
      </c>
      <c r="B47" s="1" t="s">
        <v>698</v>
      </c>
      <c r="C47" t="s">
        <v>29</v>
      </c>
      <c r="D47" t="s">
        <v>637</v>
      </c>
      <c r="E47" t="s">
        <v>687</v>
      </c>
      <c r="F47" t="s">
        <v>387</v>
      </c>
      <c r="G47" t="s">
        <v>80</v>
      </c>
      <c r="H47" t="s">
        <v>14</v>
      </c>
      <c r="I47" t="s">
        <v>174</v>
      </c>
      <c r="J47" t="s">
        <v>35</v>
      </c>
      <c r="K47" t="s">
        <v>36</v>
      </c>
      <c r="L47" t="s">
        <v>175</v>
      </c>
      <c r="M47" s="2">
        <v>111.98399999999999</v>
      </c>
      <c r="N47">
        <v>2</v>
      </c>
      <c r="O47" s="3">
        <v>0.2</v>
      </c>
      <c r="P47" s="4">
        <v>6.9989999999999997</v>
      </c>
    </row>
    <row r="48" spans="1:16" x14ac:dyDescent="0.35">
      <c r="A48" t="s">
        <v>483</v>
      </c>
      <c r="B48" s="1" t="s">
        <v>698</v>
      </c>
      <c r="C48" t="s">
        <v>29</v>
      </c>
      <c r="D48" t="s">
        <v>637</v>
      </c>
      <c r="E48" t="s">
        <v>687</v>
      </c>
      <c r="F48" t="s">
        <v>387</v>
      </c>
      <c r="G48" t="s">
        <v>80</v>
      </c>
      <c r="H48" t="s">
        <v>14</v>
      </c>
      <c r="I48" t="s">
        <v>430</v>
      </c>
      <c r="J48" t="s">
        <v>684</v>
      </c>
      <c r="K48" t="s">
        <v>39</v>
      </c>
      <c r="L48" t="s">
        <v>431</v>
      </c>
      <c r="M48" s="2">
        <v>5.97</v>
      </c>
      <c r="N48">
        <v>5</v>
      </c>
      <c r="O48" s="3">
        <v>0.7</v>
      </c>
      <c r="P48" s="4">
        <v>-4.577</v>
      </c>
    </row>
    <row r="49" spans="1:16" x14ac:dyDescent="0.35">
      <c r="A49" t="s">
        <v>483</v>
      </c>
      <c r="B49" s="1" t="s">
        <v>698</v>
      </c>
      <c r="C49" t="s">
        <v>29</v>
      </c>
      <c r="D49" t="s">
        <v>637</v>
      </c>
      <c r="E49" t="s">
        <v>687</v>
      </c>
      <c r="F49" t="s">
        <v>387</v>
      </c>
      <c r="G49" t="s">
        <v>80</v>
      </c>
      <c r="H49" t="s">
        <v>14</v>
      </c>
      <c r="I49" t="s">
        <v>297</v>
      </c>
      <c r="J49" t="s">
        <v>684</v>
      </c>
      <c r="K49" t="s">
        <v>39</v>
      </c>
      <c r="L49" t="s">
        <v>298</v>
      </c>
      <c r="M49" s="2">
        <v>2.508</v>
      </c>
      <c r="N49">
        <v>2</v>
      </c>
      <c r="O49" s="3">
        <v>0.7</v>
      </c>
      <c r="P49" s="4">
        <v>-1.8391999999999999</v>
      </c>
    </row>
    <row r="50" spans="1:16" x14ac:dyDescent="0.35">
      <c r="A50" t="s">
        <v>515</v>
      </c>
      <c r="B50" s="1" t="s">
        <v>698</v>
      </c>
      <c r="C50" t="s">
        <v>23</v>
      </c>
      <c r="D50" t="s">
        <v>638</v>
      </c>
      <c r="E50" t="s">
        <v>687</v>
      </c>
      <c r="F50" t="s">
        <v>19</v>
      </c>
      <c r="G50" t="s">
        <v>20</v>
      </c>
      <c r="H50" t="s">
        <v>21</v>
      </c>
      <c r="I50" t="s">
        <v>480</v>
      </c>
      <c r="J50" t="s">
        <v>684</v>
      </c>
      <c r="K50" t="s">
        <v>43</v>
      </c>
      <c r="L50" t="s">
        <v>481</v>
      </c>
      <c r="M50" s="2">
        <v>154.9</v>
      </c>
      <c r="N50">
        <v>5</v>
      </c>
      <c r="O50" s="3">
        <v>0</v>
      </c>
      <c r="P50" s="4">
        <v>69.704999999999998</v>
      </c>
    </row>
    <row r="51" spans="1:16" x14ac:dyDescent="0.35">
      <c r="A51" t="s">
        <v>540</v>
      </c>
      <c r="B51" s="1" t="s">
        <v>698</v>
      </c>
      <c r="C51" t="s">
        <v>294</v>
      </c>
      <c r="D51" t="s">
        <v>639</v>
      </c>
      <c r="E51" t="s">
        <v>47</v>
      </c>
      <c r="F51" t="s">
        <v>160</v>
      </c>
      <c r="G51" t="s">
        <v>70</v>
      </c>
      <c r="H51" t="s">
        <v>48</v>
      </c>
      <c r="I51" t="s">
        <v>109</v>
      </c>
      <c r="J51" t="s">
        <v>684</v>
      </c>
      <c r="K51" t="s">
        <v>27</v>
      </c>
      <c r="L51" t="s">
        <v>110</v>
      </c>
      <c r="M51" s="2">
        <v>67.400000000000006</v>
      </c>
      <c r="N51">
        <v>5</v>
      </c>
      <c r="O51" s="3">
        <v>0</v>
      </c>
      <c r="P51" s="4">
        <v>17.524000000000001</v>
      </c>
    </row>
    <row r="52" spans="1:16" x14ac:dyDescent="0.35">
      <c r="A52" t="s">
        <v>540</v>
      </c>
      <c r="B52" s="1" t="s">
        <v>698</v>
      </c>
      <c r="C52" t="s">
        <v>294</v>
      </c>
      <c r="D52" t="s">
        <v>639</v>
      </c>
      <c r="E52" t="s">
        <v>47</v>
      </c>
      <c r="F52" t="s">
        <v>160</v>
      </c>
      <c r="G52" t="s">
        <v>70</v>
      </c>
      <c r="H52" t="s">
        <v>48</v>
      </c>
      <c r="I52" t="s">
        <v>134</v>
      </c>
      <c r="J52" t="s">
        <v>684</v>
      </c>
      <c r="K52" t="s">
        <v>73</v>
      </c>
      <c r="L52" t="s">
        <v>135</v>
      </c>
      <c r="M52" s="2">
        <v>2.52</v>
      </c>
      <c r="N52">
        <v>2</v>
      </c>
      <c r="O52" s="3">
        <v>0</v>
      </c>
      <c r="P52" s="4">
        <v>0.1008</v>
      </c>
    </row>
    <row r="53" spans="1:16" x14ac:dyDescent="0.35">
      <c r="A53" t="s">
        <v>540</v>
      </c>
      <c r="B53" s="1" t="s">
        <v>698</v>
      </c>
      <c r="C53" t="s">
        <v>294</v>
      </c>
      <c r="D53" t="s">
        <v>639</v>
      </c>
      <c r="E53" t="s">
        <v>47</v>
      </c>
      <c r="F53" t="s">
        <v>160</v>
      </c>
      <c r="G53" t="s">
        <v>70</v>
      </c>
      <c r="H53" t="s">
        <v>48</v>
      </c>
      <c r="I53" t="s">
        <v>353</v>
      </c>
      <c r="J53" t="s">
        <v>35</v>
      </c>
      <c r="K53" t="s">
        <v>36</v>
      </c>
      <c r="L53" t="s">
        <v>354</v>
      </c>
      <c r="M53" s="2">
        <v>67.8</v>
      </c>
      <c r="N53">
        <v>4</v>
      </c>
      <c r="O53" s="3">
        <v>0</v>
      </c>
      <c r="P53" s="4">
        <v>1.3560000000000001</v>
      </c>
    </row>
    <row r="54" spans="1:16" x14ac:dyDescent="0.35">
      <c r="A54" t="s">
        <v>540</v>
      </c>
      <c r="B54" s="1" t="s">
        <v>698</v>
      </c>
      <c r="C54" t="s">
        <v>294</v>
      </c>
      <c r="D54" t="s">
        <v>639</v>
      </c>
      <c r="E54" t="s">
        <v>47</v>
      </c>
      <c r="F54" t="s">
        <v>160</v>
      </c>
      <c r="G54" t="s">
        <v>70</v>
      </c>
      <c r="H54" t="s">
        <v>48</v>
      </c>
      <c r="I54" t="s">
        <v>386</v>
      </c>
      <c r="J54" t="s">
        <v>684</v>
      </c>
      <c r="K54" t="s">
        <v>27</v>
      </c>
      <c r="L54" t="s">
        <v>260</v>
      </c>
      <c r="M54" s="2">
        <v>18.760000000000002</v>
      </c>
      <c r="N54">
        <v>2</v>
      </c>
      <c r="O54" s="3">
        <v>0</v>
      </c>
      <c r="P54" s="4">
        <v>5.2527999999999997</v>
      </c>
    </row>
    <row r="55" spans="1:16" x14ac:dyDescent="0.35">
      <c r="A55" t="s">
        <v>540</v>
      </c>
      <c r="B55" s="1" t="s">
        <v>698</v>
      </c>
      <c r="C55" t="s">
        <v>294</v>
      </c>
      <c r="D55" t="s">
        <v>639</v>
      </c>
      <c r="E55" t="s">
        <v>47</v>
      </c>
      <c r="F55" t="s">
        <v>160</v>
      </c>
      <c r="G55" t="s">
        <v>70</v>
      </c>
      <c r="H55" t="s">
        <v>48</v>
      </c>
      <c r="I55" t="s">
        <v>172</v>
      </c>
      <c r="J55" t="s">
        <v>35</v>
      </c>
      <c r="K55" t="s">
        <v>58</v>
      </c>
      <c r="L55" t="s">
        <v>173</v>
      </c>
      <c r="M55" s="2">
        <v>12.12</v>
      </c>
      <c r="N55">
        <v>4</v>
      </c>
      <c r="O55" s="3">
        <v>0</v>
      </c>
      <c r="P55" s="4">
        <v>2.5451999999999999</v>
      </c>
    </row>
    <row r="56" spans="1:16" x14ac:dyDescent="0.35">
      <c r="A56" t="s">
        <v>540</v>
      </c>
      <c r="B56" s="1" t="s">
        <v>698</v>
      </c>
      <c r="C56" t="s">
        <v>294</v>
      </c>
      <c r="D56" t="s">
        <v>639</v>
      </c>
      <c r="E56" t="s">
        <v>47</v>
      </c>
      <c r="F56" t="s">
        <v>160</v>
      </c>
      <c r="G56" t="s">
        <v>70</v>
      </c>
      <c r="H56" t="s">
        <v>48</v>
      </c>
      <c r="I56" t="s">
        <v>286</v>
      </c>
      <c r="J56" t="s">
        <v>684</v>
      </c>
      <c r="K56" t="s">
        <v>43</v>
      </c>
      <c r="L56" t="s">
        <v>287</v>
      </c>
      <c r="M56" s="2">
        <v>11.34</v>
      </c>
      <c r="N56">
        <v>1</v>
      </c>
      <c r="O56" s="3">
        <v>0</v>
      </c>
      <c r="P56" s="4">
        <v>5.5566000000000004</v>
      </c>
    </row>
    <row r="57" spans="1:16" x14ac:dyDescent="0.35">
      <c r="A57" t="s">
        <v>540</v>
      </c>
      <c r="B57" s="1" t="s">
        <v>698</v>
      </c>
      <c r="C57" t="s">
        <v>294</v>
      </c>
      <c r="D57" t="s">
        <v>639</v>
      </c>
      <c r="E57" t="s">
        <v>47</v>
      </c>
      <c r="F57" t="s">
        <v>160</v>
      </c>
      <c r="G57" t="s">
        <v>70</v>
      </c>
      <c r="H57" t="s">
        <v>48</v>
      </c>
      <c r="I57" t="s">
        <v>130</v>
      </c>
      <c r="J57" t="s">
        <v>35</v>
      </c>
      <c r="K57" t="s">
        <v>58</v>
      </c>
      <c r="L57" t="s">
        <v>131</v>
      </c>
      <c r="M57" s="2">
        <v>159.80000000000001</v>
      </c>
      <c r="N57">
        <v>4</v>
      </c>
      <c r="O57" s="3">
        <v>0</v>
      </c>
      <c r="P57" s="4">
        <v>70.311999999999998</v>
      </c>
    </row>
    <row r="58" spans="1:16" x14ac:dyDescent="0.35">
      <c r="A58" t="s">
        <v>540</v>
      </c>
      <c r="B58" s="1" t="s">
        <v>698</v>
      </c>
      <c r="C58" t="s">
        <v>294</v>
      </c>
      <c r="D58" t="s">
        <v>639</v>
      </c>
      <c r="E58" t="s">
        <v>47</v>
      </c>
      <c r="F58" t="s">
        <v>160</v>
      </c>
      <c r="G58" t="s">
        <v>70</v>
      </c>
      <c r="H58" t="s">
        <v>48</v>
      </c>
      <c r="I58" t="s">
        <v>383</v>
      </c>
      <c r="J58" t="s">
        <v>15</v>
      </c>
      <c r="K58" t="s">
        <v>31</v>
      </c>
      <c r="L58" t="s">
        <v>384</v>
      </c>
      <c r="M58" s="2">
        <v>18.96</v>
      </c>
      <c r="N58">
        <v>2</v>
      </c>
      <c r="O58" s="3">
        <v>0</v>
      </c>
      <c r="P58" s="4">
        <v>8.532</v>
      </c>
    </row>
    <row r="59" spans="1:16" x14ac:dyDescent="0.35">
      <c r="A59" t="s">
        <v>434</v>
      </c>
      <c r="B59" s="1" t="s">
        <v>699</v>
      </c>
      <c r="C59" t="s">
        <v>285</v>
      </c>
      <c r="D59" t="s">
        <v>640</v>
      </c>
      <c r="E59" t="s">
        <v>687</v>
      </c>
      <c r="F59" t="s">
        <v>53</v>
      </c>
      <c r="G59" t="s">
        <v>54</v>
      </c>
      <c r="H59" t="s">
        <v>55</v>
      </c>
      <c r="I59" t="s">
        <v>435</v>
      </c>
      <c r="J59" t="s">
        <v>684</v>
      </c>
      <c r="K59" t="s">
        <v>41</v>
      </c>
      <c r="L59" t="s">
        <v>436</v>
      </c>
      <c r="M59" s="2">
        <v>34.384</v>
      </c>
      <c r="N59">
        <v>1</v>
      </c>
      <c r="O59" s="3">
        <v>0.2</v>
      </c>
      <c r="P59" s="4">
        <v>3.8681999999999999</v>
      </c>
    </row>
    <row r="60" spans="1:16" x14ac:dyDescent="0.35">
      <c r="A60" t="s">
        <v>434</v>
      </c>
      <c r="B60" s="1" t="s">
        <v>699</v>
      </c>
      <c r="C60" t="s">
        <v>285</v>
      </c>
      <c r="D60" t="s">
        <v>640</v>
      </c>
      <c r="E60" t="s">
        <v>687</v>
      </c>
      <c r="F60" t="s">
        <v>53</v>
      </c>
      <c r="G60" t="s">
        <v>54</v>
      </c>
      <c r="H60" t="s">
        <v>55</v>
      </c>
      <c r="I60" t="s">
        <v>127</v>
      </c>
      <c r="J60" t="s">
        <v>684</v>
      </c>
      <c r="K60" t="s">
        <v>41</v>
      </c>
      <c r="L60" t="s">
        <v>128</v>
      </c>
      <c r="M60" s="2">
        <v>1924.16</v>
      </c>
      <c r="N60">
        <v>8</v>
      </c>
      <c r="O60" s="3">
        <v>0.2</v>
      </c>
      <c r="P60" s="4">
        <v>312.67599999999999</v>
      </c>
    </row>
    <row r="61" spans="1:16" x14ac:dyDescent="0.35">
      <c r="A61" t="s">
        <v>465</v>
      </c>
      <c r="B61" s="1" t="s">
        <v>699</v>
      </c>
      <c r="C61" t="s">
        <v>167</v>
      </c>
      <c r="D61" t="s">
        <v>641</v>
      </c>
      <c r="E61" t="s">
        <v>687</v>
      </c>
      <c r="F61" t="s">
        <v>152</v>
      </c>
      <c r="G61" t="s">
        <v>145</v>
      </c>
      <c r="H61" t="s">
        <v>55</v>
      </c>
      <c r="I61" t="s">
        <v>78</v>
      </c>
      <c r="J61" t="s">
        <v>684</v>
      </c>
      <c r="K61" t="s">
        <v>43</v>
      </c>
      <c r="L61" t="s">
        <v>79</v>
      </c>
      <c r="M61" s="2">
        <v>12.7</v>
      </c>
      <c r="N61">
        <v>2</v>
      </c>
      <c r="O61" s="3">
        <v>0</v>
      </c>
      <c r="P61" s="4">
        <v>5.8419999999999996</v>
      </c>
    </row>
    <row r="62" spans="1:16" x14ac:dyDescent="0.35">
      <c r="A62" t="s">
        <v>491</v>
      </c>
      <c r="B62" s="1" t="s">
        <v>699</v>
      </c>
      <c r="C62" t="s">
        <v>355</v>
      </c>
      <c r="D62" t="s">
        <v>642</v>
      </c>
      <c r="E62" t="s">
        <v>47</v>
      </c>
      <c r="F62" t="s">
        <v>19</v>
      </c>
      <c r="G62" t="s">
        <v>20</v>
      </c>
      <c r="H62" t="s">
        <v>21</v>
      </c>
      <c r="I62" t="s">
        <v>350</v>
      </c>
      <c r="J62" t="s">
        <v>684</v>
      </c>
      <c r="K62" t="s">
        <v>33</v>
      </c>
      <c r="L62" t="s">
        <v>351</v>
      </c>
      <c r="M62" s="2">
        <v>21.4</v>
      </c>
      <c r="N62">
        <v>5</v>
      </c>
      <c r="O62" s="3">
        <v>0</v>
      </c>
      <c r="P62" s="4">
        <v>6.2060000000000004</v>
      </c>
    </row>
    <row r="63" spans="1:16" x14ac:dyDescent="0.35">
      <c r="A63" t="s">
        <v>506</v>
      </c>
      <c r="B63" s="1" t="s">
        <v>699</v>
      </c>
      <c r="C63" t="s">
        <v>421</v>
      </c>
      <c r="D63" t="s">
        <v>643</v>
      </c>
      <c r="E63" t="s">
        <v>687</v>
      </c>
      <c r="F63" t="s">
        <v>144</v>
      </c>
      <c r="G63" t="s">
        <v>688</v>
      </c>
      <c r="H63" t="s">
        <v>48</v>
      </c>
      <c r="I63" t="s">
        <v>295</v>
      </c>
      <c r="J63" t="s">
        <v>684</v>
      </c>
      <c r="K63" t="s">
        <v>39</v>
      </c>
      <c r="L63" t="s">
        <v>296</v>
      </c>
      <c r="M63" s="2">
        <v>32.783999999999999</v>
      </c>
      <c r="N63">
        <v>4</v>
      </c>
      <c r="O63" s="3">
        <v>0.8</v>
      </c>
      <c r="P63" s="4">
        <v>-52.4544</v>
      </c>
    </row>
    <row r="64" spans="1:16" x14ac:dyDescent="0.35">
      <c r="A64" t="s">
        <v>506</v>
      </c>
      <c r="B64" s="1" t="s">
        <v>699</v>
      </c>
      <c r="C64" t="s">
        <v>421</v>
      </c>
      <c r="D64" t="s">
        <v>643</v>
      </c>
      <c r="E64" t="s">
        <v>687</v>
      </c>
      <c r="F64" t="s">
        <v>144</v>
      </c>
      <c r="G64" t="s">
        <v>688</v>
      </c>
      <c r="H64" t="s">
        <v>48</v>
      </c>
      <c r="I64" t="s">
        <v>136</v>
      </c>
      <c r="J64" t="s">
        <v>35</v>
      </c>
      <c r="K64" t="s">
        <v>58</v>
      </c>
      <c r="L64" t="s">
        <v>137</v>
      </c>
      <c r="M64" s="2">
        <v>47.984000000000002</v>
      </c>
      <c r="N64">
        <v>2</v>
      </c>
      <c r="O64" s="3">
        <v>0.2</v>
      </c>
      <c r="P64" s="4">
        <v>14.395200000000001</v>
      </c>
    </row>
    <row r="65" spans="1:16" x14ac:dyDescent="0.35">
      <c r="A65" t="s">
        <v>506</v>
      </c>
      <c r="B65" s="1" t="s">
        <v>699</v>
      </c>
      <c r="C65" t="s">
        <v>421</v>
      </c>
      <c r="D65" t="s">
        <v>643</v>
      </c>
      <c r="E65" t="s">
        <v>687</v>
      </c>
      <c r="F65" t="s">
        <v>144</v>
      </c>
      <c r="G65" t="s">
        <v>688</v>
      </c>
      <c r="H65" t="s">
        <v>48</v>
      </c>
      <c r="I65" t="s">
        <v>463</v>
      </c>
      <c r="J65" t="s">
        <v>35</v>
      </c>
      <c r="K65" t="s">
        <v>58</v>
      </c>
      <c r="L65" t="s">
        <v>464</v>
      </c>
      <c r="M65" s="2">
        <v>62.591999999999999</v>
      </c>
      <c r="N65">
        <v>8</v>
      </c>
      <c r="O65" s="3">
        <v>0.2</v>
      </c>
      <c r="P65" s="4">
        <v>13.300800000000001</v>
      </c>
    </row>
    <row r="66" spans="1:16" x14ac:dyDescent="0.35">
      <c r="A66" t="s">
        <v>506</v>
      </c>
      <c r="B66" s="1" t="s">
        <v>699</v>
      </c>
      <c r="C66" t="s">
        <v>421</v>
      </c>
      <c r="D66" t="s">
        <v>643</v>
      </c>
      <c r="E66" t="s">
        <v>687</v>
      </c>
      <c r="F66" t="s">
        <v>144</v>
      </c>
      <c r="G66" t="s">
        <v>688</v>
      </c>
      <c r="H66" t="s">
        <v>48</v>
      </c>
      <c r="I66" t="s">
        <v>168</v>
      </c>
      <c r="J66" t="s">
        <v>684</v>
      </c>
      <c r="K66" t="s">
        <v>39</v>
      </c>
      <c r="L66" t="s">
        <v>169</v>
      </c>
      <c r="M66" s="2">
        <v>4.2759999999999998</v>
      </c>
      <c r="N66">
        <v>1</v>
      </c>
      <c r="O66" s="3">
        <v>0.8</v>
      </c>
      <c r="P66" s="4">
        <v>-6.6277999999999997</v>
      </c>
    </row>
    <row r="67" spans="1:16" x14ac:dyDescent="0.35">
      <c r="A67" t="s">
        <v>493</v>
      </c>
      <c r="B67" s="1" t="s">
        <v>700</v>
      </c>
      <c r="C67" t="s">
        <v>453</v>
      </c>
      <c r="D67" t="s">
        <v>644</v>
      </c>
      <c r="E67" t="s">
        <v>18</v>
      </c>
      <c r="F67" t="s">
        <v>19</v>
      </c>
      <c r="G67" t="s">
        <v>20</v>
      </c>
      <c r="H67" t="s">
        <v>21</v>
      </c>
      <c r="I67" t="s">
        <v>30</v>
      </c>
      <c r="J67" t="s">
        <v>15</v>
      </c>
      <c r="K67" t="s">
        <v>31</v>
      </c>
      <c r="L67" t="s">
        <v>32</v>
      </c>
      <c r="M67" s="2">
        <v>27.92</v>
      </c>
      <c r="N67">
        <v>4</v>
      </c>
      <c r="O67" s="3">
        <v>0</v>
      </c>
      <c r="P67" s="4">
        <v>8.0968</v>
      </c>
    </row>
    <row r="68" spans="1:16" x14ac:dyDescent="0.35">
      <c r="A68" t="s">
        <v>493</v>
      </c>
      <c r="B68" s="1" t="s">
        <v>700</v>
      </c>
      <c r="C68" t="s">
        <v>453</v>
      </c>
      <c r="D68" t="s">
        <v>644</v>
      </c>
      <c r="E68" t="s">
        <v>18</v>
      </c>
      <c r="F68" t="s">
        <v>19</v>
      </c>
      <c r="G68" t="s">
        <v>20</v>
      </c>
      <c r="H68" t="s">
        <v>21</v>
      </c>
      <c r="I68" t="s">
        <v>274</v>
      </c>
      <c r="J68" t="s">
        <v>15</v>
      </c>
      <c r="K68" t="s">
        <v>25</v>
      </c>
      <c r="L68" t="s">
        <v>275</v>
      </c>
      <c r="M68" s="2">
        <v>399.67200000000003</v>
      </c>
      <c r="N68">
        <v>7</v>
      </c>
      <c r="O68" s="3">
        <v>0.2</v>
      </c>
      <c r="P68" s="4">
        <v>-14.9877</v>
      </c>
    </row>
    <row r="69" spans="1:16" x14ac:dyDescent="0.35">
      <c r="A69" t="s">
        <v>507</v>
      </c>
      <c r="B69" s="1" t="s">
        <v>700</v>
      </c>
      <c r="C69" t="s">
        <v>347</v>
      </c>
      <c r="D69" t="s">
        <v>645</v>
      </c>
      <c r="E69" t="s">
        <v>687</v>
      </c>
      <c r="F69" t="s">
        <v>77</v>
      </c>
      <c r="G69" t="s">
        <v>69</v>
      </c>
      <c r="H69" t="s">
        <v>48</v>
      </c>
      <c r="I69" t="s">
        <v>148</v>
      </c>
      <c r="J69" t="s">
        <v>684</v>
      </c>
      <c r="K69" t="s">
        <v>39</v>
      </c>
      <c r="L69" t="s">
        <v>149</v>
      </c>
      <c r="M69" s="2">
        <v>5443.96</v>
      </c>
      <c r="N69">
        <v>4</v>
      </c>
      <c r="O69" s="3">
        <v>0</v>
      </c>
      <c r="P69" s="4">
        <v>2504.2215999999999</v>
      </c>
    </row>
    <row r="70" spans="1:16" x14ac:dyDescent="0.35">
      <c r="A70" t="s">
        <v>507</v>
      </c>
      <c r="B70" s="1" t="s">
        <v>700</v>
      </c>
      <c r="C70" t="s">
        <v>347</v>
      </c>
      <c r="D70" t="s">
        <v>645</v>
      </c>
      <c r="E70" t="s">
        <v>687</v>
      </c>
      <c r="F70" t="s">
        <v>77</v>
      </c>
      <c r="G70" t="s">
        <v>69</v>
      </c>
      <c r="H70" t="s">
        <v>48</v>
      </c>
      <c r="I70" t="s">
        <v>488</v>
      </c>
      <c r="J70" t="s">
        <v>15</v>
      </c>
      <c r="K70" t="s">
        <v>17</v>
      </c>
      <c r="L70" t="s">
        <v>489</v>
      </c>
      <c r="M70" s="2">
        <v>302.67</v>
      </c>
      <c r="N70">
        <v>3</v>
      </c>
      <c r="O70" s="3">
        <v>0</v>
      </c>
      <c r="P70" s="4">
        <v>72.640799999999999</v>
      </c>
    </row>
    <row r="71" spans="1:16" x14ac:dyDescent="0.35">
      <c r="A71" t="s">
        <v>507</v>
      </c>
      <c r="B71" s="1" t="s">
        <v>700</v>
      </c>
      <c r="C71" t="s">
        <v>347</v>
      </c>
      <c r="D71" t="s">
        <v>645</v>
      </c>
      <c r="E71" t="s">
        <v>687</v>
      </c>
      <c r="F71" t="s">
        <v>77</v>
      </c>
      <c r="G71" t="s">
        <v>69</v>
      </c>
      <c r="H71" t="s">
        <v>48</v>
      </c>
      <c r="I71" t="s">
        <v>508</v>
      </c>
      <c r="J71" t="s">
        <v>684</v>
      </c>
      <c r="K71" t="s">
        <v>43</v>
      </c>
      <c r="L71" t="s">
        <v>509</v>
      </c>
      <c r="M71" s="2">
        <v>56.07</v>
      </c>
      <c r="N71">
        <v>7</v>
      </c>
      <c r="O71" s="3">
        <v>0</v>
      </c>
      <c r="P71" s="4">
        <v>25.2315</v>
      </c>
    </row>
    <row r="72" spans="1:16" x14ac:dyDescent="0.35">
      <c r="A72" t="s">
        <v>377</v>
      </c>
      <c r="B72" s="1" t="s">
        <v>701</v>
      </c>
      <c r="C72" t="s">
        <v>249</v>
      </c>
      <c r="D72" t="s">
        <v>646</v>
      </c>
      <c r="E72" t="s">
        <v>687</v>
      </c>
      <c r="F72" t="s">
        <v>378</v>
      </c>
      <c r="G72" t="s">
        <v>688</v>
      </c>
      <c r="H72" t="s">
        <v>48</v>
      </c>
      <c r="I72" t="s">
        <v>379</v>
      </c>
      <c r="J72" t="s">
        <v>684</v>
      </c>
      <c r="K72" t="s">
        <v>22</v>
      </c>
      <c r="L72" t="s">
        <v>380</v>
      </c>
      <c r="M72" s="2">
        <v>6</v>
      </c>
      <c r="N72">
        <v>2</v>
      </c>
      <c r="O72" s="3">
        <v>0.2</v>
      </c>
      <c r="P72" s="4">
        <v>2.1</v>
      </c>
    </row>
    <row r="73" spans="1:16" x14ac:dyDescent="0.35">
      <c r="A73" t="s">
        <v>533</v>
      </c>
      <c r="B73" s="1" t="s">
        <v>701</v>
      </c>
      <c r="C73" t="s">
        <v>364</v>
      </c>
      <c r="D73" t="s">
        <v>647</v>
      </c>
      <c r="E73" t="s">
        <v>687</v>
      </c>
      <c r="F73" t="s">
        <v>53</v>
      </c>
      <c r="G73" t="s">
        <v>54</v>
      </c>
      <c r="H73" t="s">
        <v>55</v>
      </c>
      <c r="I73" t="s">
        <v>368</v>
      </c>
      <c r="J73" t="s">
        <v>35</v>
      </c>
      <c r="K73" t="s">
        <v>36</v>
      </c>
      <c r="L73" t="s">
        <v>369</v>
      </c>
      <c r="M73" s="2">
        <v>429.6</v>
      </c>
      <c r="N73">
        <v>2</v>
      </c>
      <c r="O73" s="3">
        <v>0.4</v>
      </c>
      <c r="P73" s="4">
        <v>-93.08</v>
      </c>
    </row>
    <row r="74" spans="1:16" x14ac:dyDescent="0.35">
      <c r="A74" t="s">
        <v>533</v>
      </c>
      <c r="B74" s="1" t="s">
        <v>701</v>
      </c>
      <c r="C74" t="s">
        <v>364</v>
      </c>
      <c r="D74" t="s">
        <v>647</v>
      </c>
      <c r="E74" t="s">
        <v>687</v>
      </c>
      <c r="F74" t="s">
        <v>53</v>
      </c>
      <c r="G74" t="s">
        <v>54</v>
      </c>
      <c r="H74" t="s">
        <v>55</v>
      </c>
      <c r="I74" t="s">
        <v>220</v>
      </c>
      <c r="J74" t="s">
        <v>15</v>
      </c>
      <c r="K74" t="s">
        <v>31</v>
      </c>
      <c r="L74" t="s">
        <v>221</v>
      </c>
      <c r="M74" s="2">
        <v>31.968</v>
      </c>
      <c r="N74">
        <v>2</v>
      </c>
      <c r="O74" s="3">
        <v>0.2</v>
      </c>
      <c r="P74" s="4">
        <v>6.3936000000000002</v>
      </c>
    </row>
    <row r="75" spans="1:16" x14ac:dyDescent="0.35">
      <c r="A75" t="s">
        <v>533</v>
      </c>
      <c r="B75" s="1" t="s">
        <v>701</v>
      </c>
      <c r="C75" t="s">
        <v>364</v>
      </c>
      <c r="D75" t="s">
        <v>647</v>
      </c>
      <c r="E75" t="s">
        <v>687</v>
      </c>
      <c r="F75" t="s">
        <v>53</v>
      </c>
      <c r="G75" t="s">
        <v>54</v>
      </c>
      <c r="H75" t="s">
        <v>55</v>
      </c>
      <c r="I75" t="s">
        <v>292</v>
      </c>
      <c r="J75" t="s">
        <v>15</v>
      </c>
      <c r="K75" t="s">
        <v>17</v>
      </c>
      <c r="L75" t="s">
        <v>293</v>
      </c>
      <c r="M75" s="2">
        <v>887.27099999999996</v>
      </c>
      <c r="N75">
        <v>3</v>
      </c>
      <c r="O75" s="3">
        <v>0.3</v>
      </c>
      <c r="P75" s="4">
        <v>-63.3765</v>
      </c>
    </row>
    <row r="76" spans="1:16" x14ac:dyDescent="0.35">
      <c r="A76" t="s">
        <v>533</v>
      </c>
      <c r="B76" s="1" t="s">
        <v>701</v>
      </c>
      <c r="C76" t="s">
        <v>364</v>
      </c>
      <c r="D76" t="s">
        <v>647</v>
      </c>
      <c r="E76" t="s">
        <v>687</v>
      </c>
      <c r="F76" t="s">
        <v>53</v>
      </c>
      <c r="G76" t="s">
        <v>54</v>
      </c>
      <c r="H76" t="s">
        <v>55</v>
      </c>
      <c r="I76" t="s">
        <v>340</v>
      </c>
      <c r="J76" t="s">
        <v>684</v>
      </c>
      <c r="K76" t="s">
        <v>43</v>
      </c>
      <c r="L76" t="s">
        <v>341</v>
      </c>
      <c r="M76" s="2">
        <v>21.696000000000002</v>
      </c>
      <c r="N76">
        <v>4</v>
      </c>
      <c r="O76" s="3">
        <v>0.2</v>
      </c>
      <c r="P76" s="4">
        <v>7.0511999999999997</v>
      </c>
    </row>
    <row r="77" spans="1:16" x14ac:dyDescent="0.35">
      <c r="A77" t="s">
        <v>534</v>
      </c>
      <c r="B77" s="1" t="s">
        <v>701</v>
      </c>
      <c r="C77" t="s">
        <v>370</v>
      </c>
      <c r="D77" t="s">
        <v>648</v>
      </c>
      <c r="E77" t="s">
        <v>687</v>
      </c>
      <c r="F77" t="s">
        <v>225</v>
      </c>
      <c r="G77" t="s">
        <v>404</v>
      </c>
      <c r="H77" t="s">
        <v>55</v>
      </c>
      <c r="I77" t="s">
        <v>157</v>
      </c>
      <c r="J77" t="s">
        <v>684</v>
      </c>
      <c r="K77" t="s">
        <v>43</v>
      </c>
      <c r="L77" t="s">
        <v>158</v>
      </c>
      <c r="M77" s="2">
        <v>79.92</v>
      </c>
      <c r="N77">
        <v>4</v>
      </c>
      <c r="O77" s="3">
        <v>0</v>
      </c>
      <c r="P77" s="4">
        <v>37.562399999999997</v>
      </c>
    </row>
    <row r="78" spans="1:16" x14ac:dyDescent="0.35">
      <c r="A78" t="s">
        <v>534</v>
      </c>
      <c r="B78" s="1" t="s">
        <v>701</v>
      </c>
      <c r="C78" t="s">
        <v>370</v>
      </c>
      <c r="D78" t="s">
        <v>648</v>
      </c>
      <c r="E78" t="s">
        <v>687</v>
      </c>
      <c r="F78" t="s">
        <v>225</v>
      </c>
      <c r="G78" t="s">
        <v>404</v>
      </c>
      <c r="H78" t="s">
        <v>55</v>
      </c>
      <c r="I78" t="s">
        <v>146</v>
      </c>
      <c r="J78" t="s">
        <v>684</v>
      </c>
      <c r="K78" t="s">
        <v>43</v>
      </c>
      <c r="L78" t="s">
        <v>147</v>
      </c>
      <c r="M78" s="2">
        <v>12.28</v>
      </c>
      <c r="N78">
        <v>1</v>
      </c>
      <c r="O78" s="3">
        <v>0</v>
      </c>
      <c r="P78" s="4">
        <v>5.7716000000000003</v>
      </c>
    </row>
    <row r="79" spans="1:16" x14ac:dyDescent="0.35">
      <c r="A79" t="s">
        <v>534</v>
      </c>
      <c r="B79" s="1" t="s">
        <v>701</v>
      </c>
      <c r="C79" t="s">
        <v>370</v>
      </c>
      <c r="D79" t="s">
        <v>648</v>
      </c>
      <c r="E79" t="s">
        <v>687</v>
      </c>
      <c r="F79" t="s">
        <v>225</v>
      </c>
      <c r="G79" t="s">
        <v>404</v>
      </c>
      <c r="H79" t="s">
        <v>55</v>
      </c>
      <c r="I79" t="s">
        <v>365</v>
      </c>
      <c r="J79" t="s">
        <v>684</v>
      </c>
      <c r="K79" t="s">
        <v>41</v>
      </c>
      <c r="L79" t="s">
        <v>366</v>
      </c>
      <c r="M79" s="2">
        <v>542.94000000000005</v>
      </c>
      <c r="N79">
        <v>3</v>
      </c>
      <c r="O79" s="3">
        <v>0</v>
      </c>
      <c r="P79" s="4">
        <v>152.0232</v>
      </c>
    </row>
    <row r="80" spans="1:16" x14ac:dyDescent="0.35">
      <c r="A80" t="s">
        <v>534</v>
      </c>
      <c r="B80" s="1" t="s">
        <v>701</v>
      </c>
      <c r="C80" t="s">
        <v>370</v>
      </c>
      <c r="D80" t="s">
        <v>648</v>
      </c>
      <c r="E80" t="s">
        <v>687</v>
      </c>
      <c r="F80" t="s">
        <v>225</v>
      </c>
      <c r="G80" t="s">
        <v>404</v>
      </c>
      <c r="H80" t="s">
        <v>55</v>
      </c>
      <c r="I80" t="s">
        <v>62</v>
      </c>
      <c r="J80" t="s">
        <v>684</v>
      </c>
      <c r="K80" t="s">
        <v>63</v>
      </c>
      <c r="L80" t="s">
        <v>64</v>
      </c>
      <c r="M80" s="2">
        <v>2.04</v>
      </c>
      <c r="N80">
        <v>1</v>
      </c>
      <c r="O80" s="3">
        <v>0</v>
      </c>
      <c r="P80" s="4">
        <v>0.95879999999999999</v>
      </c>
    </row>
    <row r="81" spans="1:16" x14ac:dyDescent="0.35">
      <c r="A81" t="s">
        <v>164</v>
      </c>
      <c r="B81" s="1" t="s">
        <v>702</v>
      </c>
      <c r="C81" t="s">
        <v>92</v>
      </c>
      <c r="D81" t="s">
        <v>649</v>
      </c>
      <c r="E81" t="s">
        <v>18</v>
      </c>
      <c r="F81" t="s">
        <v>71</v>
      </c>
      <c r="G81" t="s">
        <v>72</v>
      </c>
      <c r="H81" t="s">
        <v>55</v>
      </c>
      <c r="I81" t="s">
        <v>165</v>
      </c>
      <c r="J81" t="s">
        <v>15</v>
      </c>
      <c r="K81" t="s">
        <v>17</v>
      </c>
      <c r="L81" t="s">
        <v>166</v>
      </c>
      <c r="M81" s="2">
        <v>207.846</v>
      </c>
      <c r="N81">
        <v>3</v>
      </c>
      <c r="O81" s="3">
        <v>0.1</v>
      </c>
      <c r="P81" s="4">
        <v>2.3094000000000001</v>
      </c>
    </row>
    <row r="82" spans="1:16" x14ac:dyDescent="0.35">
      <c r="A82" t="s">
        <v>360</v>
      </c>
      <c r="B82" s="1" t="s">
        <v>702</v>
      </c>
      <c r="C82" t="s">
        <v>361</v>
      </c>
      <c r="D82" t="s">
        <v>650</v>
      </c>
      <c r="E82" t="s">
        <v>687</v>
      </c>
      <c r="F82" t="s">
        <v>19</v>
      </c>
      <c r="G82" t="s">
        <v>20</v>
      </c>
      <c r="H82" t="s">
        <v>21</v>
      </c>
      <c r="I82" t="s">
        <v>362</v>
      </c>
      <c r="J82" t="s">
        <v>35</v>
      </c>
      <c r="K82" t="s">
        <v>36</v>
      </c>
      <c r="L82" t="s">
        <v>363</v>
      </c>
      <c r="M82" s="2">
        <v>160.77600000000001</v>
      </c>
      <c r="N82">
        <v>3</v>
      </c>
      <c r="O82" s="3">
        <v>0.2</v>
      </c>
      <c r="P82" s="4">
        <v>10.048500000000001</v>
      </c>
    </row>
    <row r="83" spans="1:16" x14ac:dyDescent="0.35">
      <c r="A83" t="s">
        <v>413</v>
      </c>
      <c r="B83" s="1" t="s">
        <v>702</v>
      </c>
      <c r="C83" t="s">
        <v>414</v>
      </c>
      <c r="D83" t="s">
        <v>651</v>
      </c>
      <c r="E83" t="s">
        <v>687</v>
      </c>
      <c r="F83" t="s">
        <v>50</v>
      </c>
      <c r="G83" t="s">
        <v>20</v>
      </c>
      <c r="H83" t="s">
        <v>21</v>
      </c>
      <c r="I83" t="s">
        <v>375</v>
      </c>
      <c r="J83" t="s">
        <v>684</v>
      </c>
      <c r="K83" t="s">
        <v>33</v>
      </c>
      <c r="L83" t="s">
        <v>291</v>
      </c>
      <c r="M83" s="2">
        <v>24.2</v>
      </c>
      <c r="N83">
        <v>5</v>
      </c>
      <c r="O83" s="3">
        <v>0</v>
      </c>
      <c r="P83" s="4">
        <v>7.9859999999999998</v>
      </c>
    </row>
    <row r="84" spans="1:16" x14ac:dyDescent="0.35">
      <c r="A84" t="s">
        <v>413</v>
      </c>
      <c r="B84" s="1" t="s">
        <v>702</v>
      </c>
      <c r="C84" t="s">
        <v>414</v>
      </c>
      <c r="D84" t="s">
        <v>651</v>
      </c>
      <c r="E84" t="s">
        <v>687</v>
      </c>
      <c r="F84" t="s">
        <v>50</v>
      </c>
      <c r="G84" t="s">
        <v>20</v>
      </c>
      <c r="H84" t="s">
        <v>21</v>
      </c>
      <c r="I84" t="s">
        <v>415</v>
      </c>
      <c r="J84" t="s">
        <v>35</v>
      </c>
      <c r="K84" t="s">
        <v>36</v>
      </c>
      <c r="L84" t="s">
        <v>416</v>
      </c>
      <c r="M84" s="2">
        <v>359.976</v>
      </c>
      <c r="N84">
        <v>3</v>
      </c>
      <c r="O84" s="3">
        <v>0.2</v>
      </c>
      <c r="P84" s="4">
        <v>130.4913</v>
      </c>
    </row>
    <row r="85" spans="1:16" x14ac:dyDescent="0.35">
      <c r="A85" t="s">
        <v>494</v>
      </c>
      <c r="B85" s="1" t="s">
        <v>702</v>
      </c>
      <c r="C85" t="s">
        <v>201</v>
      </c>
      <c r="D85" t="s">
        <v>652</v>
      </c>
      <c r="E85" t="s">
        <v>687</v>
      </c>
      <c r="F85" t="s">
        <v>479</v>
      </c>
      <c r="G85" t="s">
        <v>119</v>
      </c>
      <c r="H85" t="s">
        <v>55</v>
      </c>
      <c r="I85" t="s">
        <v>305</v>
      </c>
      <c r="J85" t="s">
        <v>684</v>
      </c>
      <c r="K85" t="s">
        <v>33</v>
      </c>
      <c r="L85" t="s">
        <v>306</v>
      </c>
      <c r="M85" s="2">
        <v>3.52</v>
      </c>
      <c r="N85">
        <v>2</v>
      </c>
      <c r="O85" s="3">
        <v>0</v>
      </c>
      <c r="P85" s="4">
        <v>1.0207999999999999</v>
      </c>
    </row>
    <row r="86" spans="1:16" x14ac:dyDescent="0.35">
      <c r="A86" t="s">
        <v>520</v>
      </c>
      <c r="B86" s="1" t="s">
        <v>702</v>
      </c>
      <c r="C86" t="s">
        <v>402</v>
      </c>
      <c r="D86" t="s">
        <v>653</v>
      </c>
      <c r="E86" t="s">
        <v>687</v>
      </c>
      <c r="F86" t="s">
        <v>74</v>
      </c>
      <c r="G86" t="s">
        <v>66</v>
      </c>
      <c r="H86" t="s">
        <v>48</v>
      </c>
      <c r="I86" t="s">
        <v>278</v>
      </c>
      <c r="J86" t="s">
        <v>684</v>
      </c>
      <c r="K86" t="s">
        <v>22</v>
      </c>
      <c r="L86" t="s">
        <v>279</v>
      </c>
      <c r="M86" s="2">
        <v>11.52</v>
      </c>
      <c r="N86">
        <v>5</v>
      </c>
      <c r="O86" s="3">
        <v>0.2</v>
      </c>
      <c r="P86" s="4">
        <v>4.1760000000000002</v>
      </c>
    </row>
    <row r="87" spans="1:16" x14ac:dyDescent="0.35">
      <c r="A87" t="s">
        <v>228</v>
      </c>
      <c r="B87" s="1" t="s">
        <v>703</v>
      </c>
      <c r="C87" t="s">
        <v>229</v>
      </c>
      <c r="D87" t="s">
        <v>654</v>
      </c>
      <c r="E87" t="s">
        <v>47</v>
      </c>
      <c r="F87" t="s">
        <v>44</v>
      </c>
      <c r="G87" t="s">
        <v>45</v>
      </c>
      <c r="H87" t="s">
        <v>21</v>
      </c>
      <c r="I87" t="s">
        <v>194</v>
      </c>
      <c r="J87" t="s">
        <v>684</v>
      </c>
      <c r="K87" t="s">
        <v>27</v>
      </c>
      <c r="L87" t="s">
        <v>195</v>
      </c>
      <c r="M87" s="2">
        <v>242.94</v>
      </c>
      <c r="N87">
        <v>3</v>
      </c>
      <c r="O87" s="3">
        <v>0</v>
      </c>
      <c r="P87" s="4">
        <v>9.7175999999999991</v>
      </c>
    </row>
    <row r="88" spans="1:16" x14ac:dyDescent="0.35">
      <c r="A88" t="s">
        <v>228</v>
      </c>
      <c r="B88" s="1" t="s">
        <v>703</v>
      </c>
      <c r="C88" t="s">
        <v>229</v>
      </c>
      <c r="D88" t="s">
        <v>654</v>
      </c>
      <c r="E88" t="s">
        <v>47</v>
      </c>
      <c r="F88" t="s">
        <v>44</v>
      </c>
      <c r="G88" t="s">
        <v>45</v>
      </c>
      <c r="H88" t="s">
        <v>21</v>
      </c>
      <c r="I88" t="s">
        <v>230</v>
      </c>
      <c r="J88" t="s">
        <v>35</v>
      </c>
      <c r="K88" t="s">
        <v>58</v>
      </c>
      <c r="L88" t="s">
        <v>231</v>
      </c>
      <c r="M88" s="2">
        <v>179.97</v>
      </c>
      <c r="N88">
        <v>3</v>
      </c>
      <c r="O88" s="3">
        <v>0</v>
      </c>
      <c r="P88" s="4">
        <v>86.385599999999997</v>
      </c>
    </row>
    <row r="89" spans="1:16" x14ac:dyDescent="0.35">
      <c r="A89" t="s">
        <v>228</v>
      </c>
      <c r="B89" s="1" t="s">
        <v>703</v>
      </c>
      <c r="C89" t="s">
        <v>229</v>
      </c>
      <c r="D89" t="s">
        <v>654</v>
      </c>
      <c r="E89" t="s">
        <v>47</v>
      </c>
      <c r="F89" t="s">
        <v>44</v>
      </c>
      <c r="G89" t="s">
        <v>45</v>
      </c>
      <c r="H89" t="s">
        <v>21</v>
      </c>
      <c r="I89" t="s">
        <v>154</v>
      </c>
      <c r="J89" t="s">
        <v>684</v>
      </c>
      <c r="K89" t="s">
        <v>39</v>
      </c>
      <c r="L89" t="s">
        <v>155</v>
      </c>
      <c r="M89" s="2">
        <v>99.695999999999998</v>
      </c>
      <c r="N89">
        <v>6</v>
      </c>
      <c r="O89" s="3">
        <v>0.2</v>
      </c>
      <c r="P89" s="4">
        <v>33.647399999999998</v>
      </c>
    </row>
    <row r="90" spans="1:16" x14ac:dyDescent="0.35">
      <c r="A90" t="s">
        <v>228</v>
      </c>
      <c r="B90" s="1" t="s">
        <v>703</v>
      </c>
      <c r="C90" t="s">
        <v>229</v>
      </c>
      <c r="D90" t="s">
        <v>654</v>
      </c>
      <c r="E90" t="s">
        <v>47</v>
      </c>
      <c r="F90" t="s">
        <v>44</v>
      </c>
      <c r="G90" t="s">
        <v>45</v>
      </c>
      <c r="H90" t="s">
        <v>21</v>
      </c>
      <c r="I90" t="s">
        <v>67</v>
      </c>
      <c r="J90" t="s">
        <v>684</v>
      </c>
      <c r="K90" t="s">
        <v>39</v>
      </c>
      <c r="L90" t="s">
        <v>68</v>
      </c>
      <c r="M90" s="2">
        <v>27.936</v>
      </c>
      <c r="N90">
        <v>4</v>
      </c>
      <c r="O90" s="3">
        <v>0.2</v>
      </c>
      <c r="P90" s="4">
        <v>9.4283999999999999</v>
      </c>
    </row>
    <row r="91" spans="1:16" x14ac:dyDescent="0.35">
      <c r="A91" t="s">
        <v>228</v>
      </c>
      <c r="B91" s="1" t="s">
        <v>703</v>
      </c>
      <c r="C91" t="s">
        <v>229</v>
      </c>
      <c r="D91" t="s">
        <v>654</v>
      </c>
      <c r="E91" t="s">
        <v>47</v>
      </c>
      <c r="F91" t="s">
        <v>44</v>
      </c>
      <c r="G91" t="s">
        <v>45</v>
      </c>
      <c r="H91" t="s">
        <v>21</v>
      </c>
      <c r="I91" t="s">
        <v>232</v>
      </c>
      <c r="J91" t="s">
        <v>15</v>
      </c>
      <c r="K91" t="s">
        <v>16</v>
      </c>
      <c r="L91" t="s">
        <v>233</v>
      </c>
      <c r="M91" s="2">
        <v>84.98</v>
      </c>
      <c r="N91">
        <v>1</v>
      </c>
      <c r="O91" s="3">
        <v>0</v>
      </c>
      <c r="P91" s="4">
        <v>18.695599999999999</v>
      </c>
    </row>
    <row r="92" spans="1:16" x14ac:dyDescent="0.35">
      <c r="A92" t="s">
        <v>228</v>
      </c>
      <c r="B92" s="1" t="s">
        <v>703</v>
      </c>
      <c r="C92" t="s">
        <v>229</v>
      </c>
      <c r="D92" t="s">
        <v>654</v>
      </c>
      <c r="E92" t="s">
        <v>47</v>
      </c>
      <c r="F92" t="s">
        <v>44</v>
      </c>
      <c r="G92" t="s">
        <v>45</v>
      </c>
      <c r="H92" t="s">
        <v>21</v>
      </c>
      <c r="I92" t="s">
        <v>234</v>
      </c>
      <c r="J92" t="s">
        <v>684</v>
      </c>
      <c r="K92" t="s">
        <v>39</v>
      </c>
      <c r="L92" t="s">
        <v>235</v>
      </c>
      <c r="M92" s="2">
        <v>18.72</v>
      </c>
      <c r="N92">
        <v>5</v>
      </c>
      <c r="O92" s="3">
        <v>0.2</v>
      </c>
      <c r="P92" s="4">
        <v>6.5519999999999996</v>
      </c>
    </row>
    <row r="93" spans="1:16" x14ac:dyDescent="0.35">
      <c r="A93" t="s">
        <v>299</v>
      </c>
      <c r="B93" s="1" t="s">
        <v>703</v>
      </c>
      <c r="C93" t="s">
        <v>300</v>
      </c>
      <c r="D93" t="s">
        <v>655</v>
      </c>
      <c r="E93" t="s">
        <v>47</v>
      </c>
      <c r="F93" t="s">
        <v>91</v>
      </c>
      <c r="G93" t="s">
        <v>42</v>
      </c>
      <c r="H93" t="s">
        <v>14</v>
      </c>
      <c r="I93" t="s">
        <v>301</v>
      </c>
      <c r="J93" t="s">
        <v>684</v>
      </c>
      <c r="K93" t="s">
        <v>27</v>
      </c>
      <c r="L93" t="s">
        <v>302</v>
      </c>
      <c r="M93" s="2">
        <v>348.20800000000003</v>
      </c>
      <c r="N93">
        <v>7</v>
      </c>
      <c r="O93" s="3">
        <v>0.2</v>
      </c>
      <c r="P93" s="4">
        <v>30.4682</v>
      </c>
    </row>
    <row r="94" spans="1:16" x14ac:dyDescent="0.35">
      <c r="A94" t="s">
        <v>299</v>
      </c>
      <c r="B94" s="1" t="s">
        <v>703</v>
      </c>
      <c r="C94" t="s">
        <v>300</v>
      </c>
      <c r="D94" t="s">
        <v>655</v>
      </c>
      <c r="E94" t="s">
        <v>47</v>
      </c>
      <c r="F94" t="s">
        <v>91</v>
      </c>
      <c r="G94" t="s">
        <v>42</v>
      </c>
      <c r="H94" t="s">
        <v>14</v>
      </c>
      <c r="I94" t="s">
        <v>303</v>
      </c>
      <c r="J94" t="s">
        <v>684</v>
      </c>
      <c r="K94" t="s">
        <v>39</v>
      </c>
      <c r="L94" t="s">
        <v>304</v>
      </c>
      <c r="M94" s="2">
        <v>35.783999999999999</v>
      </c>
      <c r="N94">
        <v>7</v>
      </c>
      <c r="O94" s="3">
        <v>0.7</v>
      </c>
      <c r="P94" s="4">
        <v>-28.627199999999998</v>
      </c>
    </row>
    <row r="95" spans="1:16" x14ac:dyDescent="0.35">
      <c r="A95" t="s">
        <v>423</v>
      </c>
      <c r="B95" s="1" t="s">
        <v>703</v>
      </c>
      <c r="C95" t="s">
        <v>316</v>
      </c>
      <c r="D95" t="s">
        <v>656</v>
      </c>
      <c r="E95" t="s">
        <v>47</v>
      </c>
      <c r="F95" t="s">
        <v>77</v>
      </c>
      <c r="G95" t="s">
        <v>69</v>
      </c>
      <c r="H95" t="s">
        <v>48</v>
      </c>
      <c r="I95" t="s">
        <v>236</v>
      </c>
      <c r="J95" t="s">
        <v>684</v>
      </c>
      <c r="K95" t="s">
        <v>39</v>
      </c>
      <c r="L95" t="s">
        <v>237</v>
      </c>
      <c r="M95" s="2">
        <v>14.4</v>
      </c>
      <c r="N95">
        <v>5</v>
      </c>
      <c r="O95" s="3">
        <v>0</v>
      </c>
      <c r="P95" s="4">
        <v>7.056</v>
      </c>
    </row>
    <row r="96" spans="1:16" x14ac:dyDescent="0.35">
      <c r="A96" t="s">
        <v>423</v>
      </c>
      <c r="B96" s="1" t="s">
        <v>703</v>
      </c>
      <c r="C96" t="s">
        <v>316</v>
      </c>
      <c r="D96" t="s">
        <v>656</v>
      </c>
      <c r="E96" t="s">
        <v>47</v>
      </c>
      <c r="F96" t="s">
        <v>77</v>
      </c>
      <c r="G96" t="s">
        <v>69</v>
      </c>
      <c r="H96" t="s">
        <v>48</v>
      </c>
      <c r="I96" t="s">
        <v>264</v>
      </c>
      <c r="J96" t="s">
        <v>35</v>
      </c>
      <c r="K96" t="s">
        <v>58</v>
      </c>
      <c r="L96" t="s">
        <v>265</v>
      </c>
      <c r="M96" s="2">
        <v>619.95000000000005</v>
      </c>
      <c r="N96">
        <v>5</v>
      </c>
      <c r="O96" s="3">
        <v>0</v>
      </c>
      <c r="P96" s="4">
        <v>111.59099999999999</v>
      </c>
    </row>
    <row r="97" spans="1:16" x14ac:dyDescent="0.35">
      <c r="A97" t="s">
        <v>423</v>
      </c>
      <c r="B97" s="1" t="s">
        <v>703</v>
      </c>
      <c r="C97" t="s">
        <v>316</v>
      </c>
      <c r="D97" t="s">
        <v>656</v>
      </c>
      <c r="E97" t="s">
        <v>47</v>
      </c>
      <c r="F97" t="s">
        <v>77</v>
      </c>
      <c r="G97" t="s">
        <v>69</v>
      </c>
      <c r="H97" t="s">
        <v>48</v>
      </c>
      <c r="I97" t="s">
        <v>424</v>
      </c>
      <c r="J97" t="s">
        <v>684</v>
      </c>
      <c r="K97" t="s">
        <v>39</v>
      </c>
      <c r="L97" t="s">
        <v>425</v>
      </c>
      <c r="M97" s="2">
        <v>89.52</v>
      </c>
      <c r="N97">
        <v>4</v>
      </c>
      <c r="O97" s="3">
        <v>0</v>
      </c>
      <c r="P97" s="4">
        <v>42.074399999999997</v>
      </c>
    </row>
    <row r="98" spans="1:16" x14ac:dyDescent="0.35">
      <c r="A98" t="s">
        <v>423</v>
      </c>
      <c r="B98" s="1" t="s">
        <v>703</v>
      </c>
      <c r="C98" t="s">
        <v>316</v>
      </c>
      <c r="D98" t="s">
        <v>656</v>
      </c>
      <c r="E98" t="s">
        <v>47</v>
      </c>
      <c r="F98" t="s">
        <v>77</v>
      </c>
      <c r="G98" t="s">
        <v>69</v>
      </c>
      <c r="H98" t="s">
        <v>48</v>
      </c>
      <c r="I98" t="s">
        <v>426</v>
      </c>
      <c r="J98" t="s">
        <v>35</v>
      </c>
      <c r="K98" t="s">
        <v>115</v>
      </c>
      <c r="L98" t="s">
        <v>427</v>
      </c>
      <c r="M98" s="2">
        <v>350.97300000000001</v>
      </c>
      <c r="N98">
        <v>3</v>
      </c>
      <c r="O98" s="3">
        <v>0.1</v>
      </c>
      <c r="P98" s="4">
        <v>152.0883</v>
      </c>
    </row>
    <row r="99" spans="1:16" x14ac:dyDescent="0.35">
      <c r="A99" t="s">
        <v>423</v>
      </c>
      <c r="B99" s="1" t="s">
        <v>703</v>
      </c>
      <c r="C99" t="s">
        <v>316</v>
      </c>
      <c r="D99" t="s">
        <v>656</v>
      </c>
      <c r="E99" t="s">
        <v>47</v>
      </c>
      <c r="F99" t="s">
        <v>77</v>
      </c>
      <c r="G99" t="s">
        <v>69</v>
      </c>
      <c r="H99" t="s">
        <v>48</v>
      </c>
      <c r="I99" t="s">
        <v>428</v>
      </c>
      <c r="J99" t="s">
        <v>35</v>
      </c>
      <c r="K99" t="s">
        <v>36</v>
      </c>
      <c r="L99" t="s">
        <v>429</v>
      </c>
      <c r="M99" s="2">
        <v>164.99</v>
      </c>
      <c r="N99">
        <v>1</v>
      </c>
      <c r="O99" s="3">
        <v>0</v>
      </c>
      <c r="P99" s="4">
        <v>49.497</v>
      </c>
    </row>
    <row r="100" spans="1:16" x14ac:dyDescent="0.35">
      <c r="A100" t="s">
        <v>539</v>
      </c>
      <c r="B100" s="1" t="s">
        <v>703</v>
      </c>
      <c r="C100" t="s">
        <v>432</v>
      </c>
      <c r="D100" t="s">
        <v>657</v>
      </c>
      <c r="E100" t="s">
        <v>687</v>
      </c>
      <c r="F100" t="s">
        <v>88</v>
      </c>
      <c r="G100" t="s">
        <v>66</v>
      </c>
      <c r="H100" t="s">
        <v>48</v>
      </c>
      <c r="I100" t="s">
        <v>213</v>
      </c>
      <c r="J100" t="s">
        <v>684</v>
      </c>
      <c r="K100" t="s">
        <v>63</v>
      </c>
      <c r="L100" t="s">
        <v>214</v>
      </c>
      <c r="M100" s="2">
        <v>268.57600000000002</v>
      </c>
      <c r="N100">
        <v>4</v>
      </c>
      <c r="O100" s="3">
        <v>0.2</v>
      </c>
      <c r="P100" s="4">
        <v>90.644400000000005</v>
      </c>
    </row>
    <row r="101" spans="1:16" x14ac:dyDescent="0.35">
      <c r="A101" t="s">
        <v>183</v>
      </c>
      <c r="B101" s="1" t="s">
        <v>704</v>
      </c>
      <c r="C101" t="s">
        <v>101</v>
      </c>
      <c r="D101" t="s">
        <v>658</v>
      </c>
      <c r="E101" t="s">
        <v>47</v>
      </c>
      <c r="F101" t="s">
        <v>184</v>
      </c>
      <c r="G101" t="s">
        <v>185</v>
      </c>
      <c r="H101" t="s">
        <v>21</v>
      </c>
      <c r="I101" t="s">
        <v>186</v>
      </c>
      <c r="J101" t="s">
        <v>35</v>
      </c>
      <c r="K101" t="s">
        <v>143</v>
      </c>
      <c r="L101" t="s">
        <v>187</v>
      </c>
      <c r="M101" s="2">
        <v>2999.95</v>
      </c>
      <c r="N101">
        <v>5</v>
      </c>
      <c r="O101" s="3">
        <v>0</v>
      </c>
      <c r="P101" s="4">
        <v>1379.9770000000001</v>
      </c>
    </row>
    <row r="102" spans="1:16" x14ac:dyDescent="0.35">
      <c r="A102" t="s">
        <v>183</v>
      </c>
      <c r="B102" s="1" t="s">
        <v>704</v>
      </c>
      <c r="C102" t="s">
        <v>101</v>
      </c>
      <c r="D102" t="s">
        <v>658</v>
      </c>
      <c r="E102" t="s">
        <v>47</v>
      </c>
      <c r="F102" t="s">
        <v>184</v>
      </c>
      <c r="G102" t="s">
        <v>185</v>
      </c>
      <c r="H102" t="s">
        <v>21</v>
      </c>
      <c r="I102" t="s">
        <v>188</v>
      </c>
      <c r="J102" t="s">
        <v>684</v>
      </c>
      <c r="K102" t="s">
        <v>27</v>
      </c>
      <c r="L102" t="s">
        <v>189</v>
      </c>
      <c r="M102" s="2">
        <v>51.45</v>
      </c>
      <c r="N102">
        <v>3</v>
      </c>
      <c r="O102" s="3">
        <v>0</v>
      </c>
      <c r="P102" s="4">
        <v>13.891500000000001</v>
      </c>
    </row>
    <row r="103" spans="1:16" x14ac:dyDescent="0.35">
      <c r="A103" t="s">
        <v>183</v>
      </c>
      <c r="B103" s="1" t="s">
        <v>704</v>
      </c>
      <c r="C103" t="s">
        <v>101</v>
      </c>
      <c r="D103" t="s">
        <v>658</v>
      </c>
      <c r="E103" t="s">
        <v>47</v>
      </c>
      <c r="F103" t="s">
        <v>184</v>
      </c>
      <c r="G103" t="s">
        <v>185</v>
      </c>
      <c r="H103" t="s">
        <v>21</v>
      </c>
      <c r="I103" t="s">
        <v>190</v>
      </c>
      <c r="J103" t="s">
        <v>684</v>
      </c>
      <c r="K103" t="s">
        <v>43</v>
      </c>
      <c r="L103" t="s">
        <v>191</v>
      </c>
      <c r="M103" s="2">
        <v>11.96</v>
      </c>
      <c r="N103">
        <v>2</v>
      </c>
      <c r="O103" s="3">
        <v>0</v>
      </c>
      <c r="P103" s="4">
        <v>5.3819999999999997</v>
      </c>
    </row>
    <row r="104" spans="1:16" x14ac:dyDescent="0.35">
      <c r="A104" t="s">
        <v>183</v>
      </c>
      <c r="B104" s="1" t="s">
        <v>704</v>
      </c>
      <c r="C104" t="s">
        <v>101</v>
      </c>
      <c r="D104" t="s">
        <v>658</v>
      </c>
      <c r="E104" t="s">
        <v>47</v>
      </c>
      <c r="F104" t="s">
        <v>184</v>
      </c>
      <c r="G104" t="s">
        <v>185</v>
      </c>
      <c r="H104" t="s">
        <v>21</v>
      </c>
      <c r="I104" t="s">
        <v>192</v>
      </c>
      <c r="J104" t="s">
        <v>684</v>
      </c>
      <c r="K104" t="s">
        <v>27</v>
      </c>
      <c r="L104" t="s">
        <v>193</v>
      </c>
      <c r="M104" s="2">
        <v>1126.02</v>
      </c>
      <c r="N104">
        <v>3</v>
      </c>
      <c r="O104" s="3">
        <v>0</v>
      </c>
      <c r="P104" s="4">
        <v>56.301000000000002</v>
      </c>
    </row>
    <row r="105" spans="1:16" x14ac:dyDescent="0.35">
      <c r="A105" t="s">
        <v>525</v>
      </c>
      <c r="B105" s="1" t="s">
        <v>704</v>
      </c>
      <c r="C105" t="s">
        <v>385</v>
      </c>
      <c r="D105" t="s">
        <v>659</v>
      </c>
      <c r="E105" t="s">
        <v>18</v>
      </c>
      <c r="F105" t="s">
        <v>74</v>
      </c>
      <c r="G105" t="s">
        <v>66</v>
      </c>
      <c r="H105" t="s">
        <v>48</v>
      </c>
      <c r="I105" t="s">
        <v>388</v>
      </c>
      <c r="J105" t="s">
        <v>684</v>
      </c>
      <c r="K105" t="s">
        <v>73</v>
      </c>
      <c r="L105" t="s">
        <v>102</v>
      </c>
      <c r="M105" s="2">
        <v>15.12</v>
      </c>
      <c r="N105">
        <v>5</v>
      </c>
      <c r="O105" s="3">
        <v>0.2</v>
      </c>
      <c r="P105" s="4">
        <v>4.9139999999999997</v>
      </c>
    </row>
    <row r="106" spans="1:16" x14ac:dyDescent="0.35">
      <c r="A106" t="s">
        <v>525</v>
      </c>
      <c r="B106" s="1" t="s">
        <v>704</v>
      </c>
      <c r="C106" t="s">
        <v>385</v>
      </c>
      <c r="D106" t="s">
        <v>659</v>
      </c>
      <c r="E106" t="s">
        <v>18</v>
      </c>
      <c r="F106" t="s">
        <v>74</v>
      </c>
      <c r="G106" t="s">
        <v>66</v>
      </c>
      <c r="H106" t="s">
        <v>48</v>
      </c>
      <c r="I106" t="s">
        <v>466</v>
      </c>
      <c r="J106" t="s">
        <v>684</v>
      </c>
      <c r="K106" t="s">
        <v>33</v>
      </c>
      <c r="L106" t="s">
        <v>467</v>
      </c>
      <c r="M106" s="2">
        <v>7.8719999999999999</v>
      </c>
      <c r="N106">
        <v>3</v>
      </c>
      <c r="O106" s="3">
        <v>0.2</v>
      </c>
      <c r="P106" s="4">
        <v>0.88560000000000005</v>
      </c>
    </row>
    <row r="107" spans="1:16" x14ac:dyDescent="0.35">
      <c r="A107" t="s">
        <v>196</v>
      </c>
      <c r="B107" s="1" t="s">
        <v>705</v>
      </c>
      <c r="C107" t="s">
        <v>197</v>
      </c>
      <c r="D107" t="s">
        <v>660</v>
      </c>
      <c r="E107" t="s">
        <v>18</v>
      </c>
      <c r="F107" t="s">
        <v>125</v>
      </c>
      <c r="G107" t="s">
        <v>69</v>
      </c>
      <c r="H107" t="s">
        <v>48</v>
      </c>
      <c r="I107" t="s">
        <v>177</v>
      </c>
      <c r="J107" t="s">
        <v>15</v>
      </c>
      <c r="K107" t="s">
        <v>25</v>
      </c>
      <c r="L107" t="s">
        <v>178</v>
      </c>
      <c r="M107" s="2">
        <v>210.98</v>
      </c>
      <c r="N107">
        <v>2</v>
      </c>
      <c r="O107" s="3">
        <v>0</v>
      </c>
      <c r="P107" s="4">
        <v>21.097999999999999</v>
      </c>
    </row>
    <row r="108" spans="1:16" x14ac:dyDescent="0.35">
      <c r="A108" t="s">
        <v>505</v>
      </c>
      <c r="B108" s="1" t="s">
        <v>705</v>
      </c>
      <c r="C108" t="s">
        <v>238</v>
      </c>
      <c r="D108" t="s">
        <v>661</v>
      </c>
      <c r="E108" t="s">
        <v>18</v>
      </c>
      <c r="F108" t="s">
        <v>44</v>
      </c>
      <c r="G108" t="s">
        <v>45</v>
      </c>
      <c r="H108" t="s">
        <v>21</v>
      </c>
      <c r="I108" t="s">
        <v>381</v>
      </c>
      <c r="J108" t="s">
        <v>684</v>
      </c>
      <c r="K108" t="s">
        <v>39</v>
      </c>
      <c r="L108" t="s">
        <v>382</v>
      </c>
      <c r="M108" s="2">
        <v>19.68</v>
      </c>
      <c r="N108">
        <v>5</v>
      </c>
      <c r="O108" s="3">
        <v>0.2</v>
      </c>
      <c r="P108" s="4">
        <v>6.8879999999999999</v>
      </c>
    </row>
    <row r="109" spans="1:16" x14ac:dyDescent="0.35">
      <c r="A109" t="s">
        <v>505</v>
      </c>
      <c r="B109" s="1" t="s">
        <v>705</v>
      </c>
      <c r="C109" t="s">
        <v>238</v>
      </c>
      <c r="D109" t="s">
        <v>661</v>
      </c>
      <c r="E109" t="s">
        <v>18</v>
      </c>
      <c r="F109" t="s">
        <v>44</v>
      </c>
      <c r="G109" t="s">
        <v>45</v>
      </c>
      <c r="H109" t="s">
        <v>21</v>
      </c>
      <c r="I109" t="s">
        <v>280</v>
      </c>
      <c r="J109" t="s">
        <v>684</v>
      </c>
      <c r="K109" t="s">
        <v>43</v>
      </c>
      <c r="L109" t="s">
        <v>281</v>
      </c>
      <c r="M109" s="2">
        <v>25.92</v>
      </c>
      <c r="N109">
        <v>4</v>
      </c>
      <c r="O109" s="3">
        <v>0</v>
      </c>
      <c r="P109" s="4">
        <v>12.441599999999999</v>
      </c>
    </row>
    <row r="110" spans="1:16" x14ac:dyDescent="0.35">
      <c r="A110" t="s">
        <v>505</v>
      </c>
      <c r="B110" s="1" t="s">
        <v>705</v>
      </c>
      <c r="C110" t="s">
        <v>238</v>
      </c>
      <c r="D110" t="s">
        <v>661</v>
      </c>
      <c r="E110" t="s">
        <v>18</v>
      </c>
      <c r="F110" t="s">
        <v>44</v>
      </c>
      <c r="G110" t="s">
        <v>45</v>
      </c>
      <c r="H110" t="s">
        <v>21</v>
      </c>
      <c r="I110" t="s">
        <v>345</v>
      </c>
      <c r="J110" t="s">
        <v>684</v>
      </c>
      <c r="K110" t="s">
        <v>43</v>
      </c>
      <c r="L110" t="s">
        <v>346</v>
      </c>
      <c r="M110" s="2">
        <v>6.48</v>
      </c>
      <c r="N110">
        <v>1</v>
      </c>
      <c r="O110" s="3">
        <v>0</v>
      </c>
      <c r="P110" s="4">
        <v>3.1103999999999998</v>
      </c>
    </row>
    <row r="111" spans="1:16" x14ac:dyDescent="0.35">
      <c r="A111" t="s">
        <v>505</v>
      </c>
      <c r="B111" s="1" t="s">
        <v>705</v>
      </c>
      <c r="C111" t="s">
        <v>238</v>
      </c>
      <c r="D111" t="s">
        <v>661</v>
      </c>
      <c r="E111" t="s">
        <v>18</v>
      </c>
      <c r="F111" t="s">
        <v>44</v>
      </c>
      <c r="G111" t="s">
        <v>45</v>
      </c>
      <c r="H111" t="s">
        <v>21</v>
      </c>
      <c r="I111" t="s">
        <v>501</v>
      </c>
      <c r="J111" t="s">
        <v>35</v>
      </c>
      <c r="K111" t="s">
        <v>36</v>
      </c>
      <c r="L111" t="s">
        <v>502</v>
      </c>
      <c r="M111" s="2">
        <v>86.352000000000004</v>
      </c>
      <c r="N111">
        <v>6</v>
      </c>
      <c r="O111" s="3">
        <v>0.2</v>
      </c>
      <c r="P111" s="4">
        <v>8.6351999999999993</v>
      </c>
    </row>
    <row r="112" spans="1:16" x14ac:dyDescent="0.35">
      <c r="A112" t="s">
        <v>537</v>
      </c>
      <c r="B112" s="1" t="s">
        <v>705</v>
      </c>
      <c r="C112" t="s">
        <v>46</v>
      </c>
      <c r="D112" t="s">
        <v>662</v>
      </c>
      <c r="E112" t="s">
        <v>47</v>
      </c>
      <c r="F112" t="s">
        <v>151</v>
      </c>
      <c r="G112" t="s">
        <v>75</v>
      </c>
      <c r="H112" t="s">
        <v>21</v>
      </c>
      <c r="I112" t="s">
        <v>456</v>
      </c>
      <c r="J112" t="s">
        <v>35</v>
      </c>
      <c r="K112" t="s">
        <v>58</v>
      </c>
      <c r="L112" t="s">
        <v>457</v>
      </c>
      <c r="M112" s="2">
        <v>95.983999999999995</v>
      </c>
      <c r="N112">
        <v>2</v>
      </c>
      <c r="O112" s="3">
        <v>0.2</v>
      </c>
      <c r="P112" s="4">
        <v>11.997999999999999</v>
      </c>
    </row>
    <row r="113" spans="1:16" x14ac:dyDescent="0.35">
      <c r="A113" t="s">
        <v>537</v>
      </c>
      <c r="B113" s="1" t="s">
        <v>705</v>
      </c>
      <c r="C113" t="s">
        <v>46</v>
      </c>
      <c r="D113" t="s">
        <v>662</v>
      </c>
      <c r="E113" t="s">
        <v>47</v>
      </c>
      <c r="F113" t="s">
        <v>151</v>
      </c>
      <c r="G113" t="s">
        <v>75</v>
      </c>
      <c r="H113" t="s">
        <v>21</v>
      </c>
      <c r="I113" t="s">
        <v>400</v>
      </c>
      <c r="J113" t="s">
        <v>684</v>
      </c>
      <c r="K113" t="s">
        <v>39</v>
      </c>
      <c r="L113" t="s">
        <v>401</v>
      </c>
      <c r="M113" s="2">
        <v>4.9379999999999997</v>
      </c>
      <c r="N113">
        <v>2</v>
      </c>
      <c r="O113" s="3">
        <v>0.7</v>
      </c>
      <c r="P113" s="4">
        <v>-3.6212</v>
      </c>
    </row>
    <row r="114" spans="1:16" x14ac:dyDescent="0.35">
      <c r="A114" t="s">
        <v>412</v>
      </c>
      <c r="B114" s="1" t="s">
        <v>706</v>
      </c>
      <c r="C114" t="s">
        <v>206</v>
      </c>
      <c r="D114" t="s">
        <v>663</v>
      </c>
      <c r="E114" t="s">
        <v>687</v>
      </c>
      <c r="F114" t="s">
        <v>331</v>
      </c>
      <c r="G114" t="s">
        <v>150</v>
      </c>
      <c r="H114" t="s">
        <v>14</v>
      </c>
      <c r="I114" t="s">
        <v>332</v>
      </c>
      <c r="J114" t="s">
        <v>684</v>
      </c>
      <c r="K114" t="s">
        <v>73</v>
      </c>
      <c r="L114" t="s">
        <v>333</v>
      </c>
      <c r="M114" s="2">
        <v>5.67</v>
      </c>
      <c r="N114">
        <v>3</v>
      </c>
      <c r="O114" s="3">
        <v>0</v>
      </c>
      <c r="P114" s="4">
        <v>0.1134</v>
      </c>
    </row>
    <row r="115" spans="1:16" x14ac:dyDescent="0.35">
      <c r="A115" t="s">
        <v>536</v>
      </c>
      <c r="B115" s="1" t="s">
        <v>706</v>
      </c>
      <c r="C115" t="s">
        <v>344</v>
      </c>
      <c r="D115" t="s">
        <v>664</v>
      </c>
      <c r="E115" t="s">
        <v>18</v>
      </c>
      <c r="F115" t="s">
        <v>108</v>
      </c>
      <c r="G115" t="s">
        <v>20</v>
      </c>
      <c r="H115" t="s">
        <v>21</v>
      </c>
      <c r="I115" t="s">
        <v>51</v>
      </c>
      <c r="J115" t="s">
        <v>684</v>
      </c>
      <c r="K115" t="s">
        <v>41</v>
      </c>
      <c r="L115" t="s">
        <v>52</v>
      </c>
      <c r="M115" s="2">
        <v>25.86</v>
      </c>
      <c r="N115">
        <v>3</v>
      </c>
      <c r="O115" s="3">
        <v>0</v>
      </c>
      <c r="P115" s="4">
        <v>6.7236000000000002</v>
      </c>
    </row>
    <row r="116" spans="1:16" x14ac:dyDescent="0.35">
      <c r="A116" t="s">
        <v>536</v>
      </c>
      <c r="B116" s="1" t="s">
        <v>706</v>
      </c>
      <c r="C116" t="s">
        <v>344</v>
      </c>
      <c r="D116" t="s">
        <v>664</v>
      </c>
      <c r="E116" t="s">
        <v>18</v>
      </c>
      <c r="F116" t="s">
        <v>108</v>
      </c>
      <c r="G116" t="s">
        <v>20</v>
      </c>
      <c r="H116" t="s">
        <v>21</v>
      </c>
      <c r="I116" t="s">
        <v>460</v>
      </c>
      <c r="J116" t="s">
        <v>684</v>
      </c>
      <c r="K116" t="s">
        <v>39</v>
      </c>
      <c r="L116" t="s">
        <v>461</v>
      </c>
      <c r="M116" s="2">
        <v>276.78399999999999</v>
      </c>
      <c r="N116">
        <v>2</v>
      </c>
      <c r="O116" s="3">
        <v>0.2</v>
      </c>
      <c r="P116" s="4">
        <v>89.954800000000006</v>
      </c>
    </row>
    <row r="117" spans="1:16" x14ac:dyDescent="0.35">
      <c r="A117" t="s">
        <v>536</v>
      </c>
      <c r="B117" s="1" t="s">
        <v>706</v>
      </c>
      <c r="C117" t="s">
        <v>344</v>
      </c>
      <c r="D117" t="s">
        <v>664</v>
      </c>
      <c r="E117" t="s">
        <v>18</v>
      </c>
      <c r="F117" t="s">
        <v>108</v>
      </c>
      <c r="G117" t="s">
        <v>20</v>
      </c>
      <c r="H117" t="s">
        <v>21</v>
      </c>
      <c r="I117" t="s">
        <v>477</v>
      </c>
      <c r="J117" t="s">
        <v>35</v>
      </c>
      <c r="K117" t="s">
        <v>36</v>
      </c>
      <c r="L117" t="s">
        <v>478</v>
      </c>
      <c r="M117" s="2">
        <v>110.352</v>
      </c>
      <c r="N117">
        <v>3</v>
      </c>
      <c r="O117" s="3">
        <v>0.2</v>
      </c>
      <c r="P117" s="4">
        <v>8.2764000000000006</v>
      </c>
    </row>
    <row r="118" spans="1:16" x14ac:dyDescent="0.35">
      <c r="A118" t="s">
        <v>437</v>
      </c>
      <c r="B118" s="1" t="s">
        <v>707</v>
      </c>
      <c r="C118" t="s">
        <v>438</v>
      </c>
      <c r="D118" t="s">
        <v>665</v>
      </c>
      <c r="E118" t="s">
        <v>18</v>
      </c>
      <c r="F118" t="s">
        <v>433</v>
      </c>
      <c r="G118" t="s">
        <v>83</v>
      </c>
      <c r="H118" t="s">
        <v>14</v>
      </c>
      <c r="I118" t="s">
        <v>111</v>
      </c>
      <c r="J118" t="s">
        <v>684</v>
      </c>
      <c r="K118" t="s">
        <v>33</v>
      </c>
      <c r="L118" t="s">
        <v>112</v>
      </c>
      <c r="M118" s="2">
        <v>15.47</v>
      </c>
      <c r="N118">
        <v>7</v>
      </c>
      <c r="O118" s="3">
        <v>0</v>
      </c>
      <c r="P118" s="4">
        <v>4.1768999999999998</v>
      </c>
    </row>
    <row r="119" spans="1:16" x14ac:dyDescent="0.35">
      <c r="A119" t="s">
        <v>437</v>
      </c>
      <c r="B119" s="1" t="s">
        <v>707</v>
      </c>
      <c r="C119" t="s">
        <v>438</v>
      </c>
      <c r="D119" t="s">
        <v>665</v>
      </c>
      <c r="E119" t="s">
        <v>18</v>
      </c>
      <c r="F119" t="s">
        <v>433</v>
      </c>
      <c r="G119" t="s">
        <v>83</v>
      </c>
      <c r="H119" t="s">
        <v>14</v>
      </c>
      <c r="I119" t="s">
        <v>120</v>
      </c>
      <c r="J119" t="s">
        <v>684</v>
      </c>
      <c r="K119" t="s">
        <v>39</v>
      </c>
      <c r="L119" t="s">
        <v>121</v>
      </c>
      <c r="M119" s="2">
        <v>7.16</v>
      </c>
      <c r="N119">
        <v>2</v>
      </c>
      <c r="O119" s="3">
        <v>0</v>
      </c>
      <c r="P119" s="4">
        <v>3.4367999999999999</v>
      </c>
    </row>
    <row r="120" spans="1:16" x14ac:dyDescent="0.35">
      <c r="A120" t="s">
        <v>498</v>
      </c>
      <c r="B120" s="1" t="s">
        <v>707</v>
      </c>
      <c r="C120" t="s">
        <v>13</v>
      </c>
      <c r="D120" t="s">
        <v>666</v>
      </c>
      <c r="E120" t="s">
        <v>687</v>
      </c>
      <c r="F120" t="s">
        <v>65</v>
      </c>
      <c r="G120" t="s">
        <v>688</v>
      </c>
      <c r="H120" t="s">
        <v>48</v>
      </c>
      <c r="I120" t="s">
        <v>81</v>
      </c>
      <c r="J120" t="s">
        <v>684</v>
      </c>
      <c r="K120" t="s">
        <v>27</v>
      </c>
      <c r="L120" t="s">
        <v>82</v>
      </c>
      <c r="M120" s="2">
        <v>18.16</v>
      </c>
      <c r="N120">
        <v>2</v>
      </c>
      <c r="O120" s="3">
        <v>0.2</v>
      </c>
      <c r="P120" s="4">
        <v>1.8160000000000001</v>
      </c>
    </row>
    <row r="121" spans="1:16" x14ac:dyDescent="0.35">
      <c r="A121" t="s">
        <v>524</v>
      </c>
      <c r="B121" s="1" t="s">
        <v>707</v>
      </c>
      <c r="C121" t="s">
        <v>159</v>
      </c>
      <c r="D121" t="s">
        <v>667</v>
      </c>
      <c r="E121" t="s">
        <v>687</v>
      </c>
      <c r="F121" t="s">
        <v>50</v>
      </c>
      <c r="G121" t="s">
        <v>20</v>
      </c>
      <c r="H121" t="s">
        <v>21</v>
      </c>
      <c r="I121" t="s">
        <v>358</v>
      </c>
      <c r="J121" t="s">
        <v>684</v>
      </c>
      <c r="K121" t="s">
        <v>73</v>
      </c>
      <c r="L121" t="s">
        <v>359</v>
      </c>
      <c r="M121" s="2">
        <v>11.84</v>
      </c>
      <c r="N121">
        <v>8</v>
      </c>
      <c r="O121" s="3">
        <v>0</v>
      </c>
      <c r="P121" s="4">
        <v>5.6832000000000003</v>
      </c>
    </row>
    <row r="122" spans="1:16" x14ac:dyDescent="0.35">
      <c r="A122" t="s">
        <v>528</v>
      </c>
      <c r="B122" s="1" t="s">
        <v>707</v>
      </c>
      <c r="C122" t="s">
        <v>200</v>
      </c>
      <c r="D122" t="s">
        <v>668</v>
      </c>
      <c r="E122" t="s">
        <v>687</v>
      </c>
      <c r="F122" t="s">
        <v>94</v>
      </c>
      <c r="G122" t="s">
        <v>150</v>
      </c>
      <c r="H122" t="s">
        <v>14</v>
      </c>
      <c r="I122" t="s">
        <v>99</v>
      </c>
      <c r="J122" t="s">
        <v>15</v>
      </c>
      <c r="K122" t="s">
        <v>31</v>
      </c>
      <c r="L122" t="s">
        <v>100</v>
      </c>
      <c r="M122" s="2">
        <v>62.72</v>
      </c>
      <c r="N122">
        <v>4</v>
      </c>
      <c r="O122" s="3">
        <v>0</v>
      </c>
      <c r="P122" s="4">
        <v>24.460799999999999</v>
      </c>
    </row>
    <row r="123" spans="1:16" x14ac:dyDescent="0.35">
      <c r="A123" t="s">
        <v>528</v>
      </c>
      <c r="B123" s="1" t="s">
        <v>707</v>
      </c>
      <c r="C123" t="s">
        <v>200</v>
      </c>
      <c r="D123" t="s">
        <v>668</v>
      </c>
      <c r="E123" t="s">
        <v>687</v>
      </c>
      <c r="F123" t="s">
        <v>94</v>
      </c>
      <c r="G123" t="s">
        <v>150</v>
      </c>
      <c r="H123" t="s">
        <v>14</v>
      </c>
      <c r="I123" t="s">
        <v>444</v>
      </c>
      <c r="J123" t="s">
        <v>35</v>
      </c>
      <c r="K123" t="s">
        <v>36</v>
      </c>
      <c r="L123" t="s">
        <v>445</v>
      </c>
      <c r="M123" s="2">
        <v>2939.93</v>
      </c>
      <c r="N123">
        <v>7</v>
      </c>
      <c r="O123" s="3">
        <v>0</v>
      </c>
      <c r="P123" s="4">
        <v>764.3818</v>
      </c>
    </row>
    <row r="124" spans="1:16" x14ac:dyDescent="0.35">
      <c r="A124" t="s">
        <v>398</v>
      </c>
      <c r="B124" s="1" t="s">
        <v>708</v>
      </c>
      <c r="C124" t="s">
        <v>399</v>
      </c>
      <c r="D124" t="s">
        <v>669</v>
      </c>
      <c r="E124" t="s">
        <v>687</v>
      </c>
      <c r="F124" t="s">
        <v>357</v>
      </c>
      <c r="G124" t="s">
        <v>95</v>
      </c>
      <c r="H124" t="s">
        <v>55</v>
      </c>
      <c r="I124" t="s">
        <v>202</v>
      </c>
      <c r="J124" t="s">
        <v>684</v>
      </c>
      <c r="K124" t="s">
        <v>33</v>
      </c>
      <c r="L124" t="s">
        <v>203</v>
      </c>
      <c r="M124" s="2">
        <v>14.016</v>
      </c>
      <c r="N124">
        <v>3</v>
      </c>
      <c r="O124" s="3">
        <v>0.2</v>
      </c>
      <c r="P124" s="4">
        <v>1.752</v>
      </c>
    </row>
    <row r="125" spans="1:16" x14ac:dyDescent="0.35">
      <c r="A125" t="s">
        <v>398</v>
      </c>
      <c r="B125" s="1" t="s">
        <v>708</v>
      </c>
      <c r="C125" t="s">
        <v>399</v>
      </c>
      <c r="D125" t="s">
        <v>669</v>
      </c>
      <c r="E125" t="s">
        <v>687</v>
      </c>
      <c r="F125" t="s">
        <v>357</v>
      </c>
      <c r="G125" t="s">
        <v>95</v>
      </c>
      <c r="H125" t="s">
        <v>55</v>
      </c>
      <c r="I125" t="s">
        <v>266</v>
      </c>
      <c r="J125" t="s">
        <v>35</v>
      </c>
      <c r="K125" t="s">
        <v>58</v>
      </c>
      <c r="L125" t="s">
        <v>267</v>
      </c>
      <c r="M125" s="2">
        <v>71.975999999999999</v>
      </c>
      <c r="N125">
        <v>3</v>
      </c>
      <c r="O125" s="3">
        <v>0.2</v>
      </c>
      <c r="P125" s="4">
        <v>-8.9969999999999999</v>
      </c>
    </row>
    <row r="126" spans="1:16" x14ac:dyDescent="0.35">
      <c r="A126" t="s">
        <v>398</v>
      </c>
      <c r="B126" s="1" t="s">
        <v>708</v>
      </c>
      <c r="C126" t="s">
        <v>399</v>
      </c>
      <c r="D126" t="s">
        <v>669</v>
      </c>
      <c r="E126" t="s">
        <v>687</v>
      </c>
      <c r="F126" t="s">
        <v>357</v>
      </c>
      <c r="G126" t="s">
        <v>95</v>
      </c>
      <c r="H126" t="s">
        <v>55</v>
      </c>
      <c r="I126" t="s">
        <v>117</v>
      </c>
      <c r="J126" t="s">
        <v>35</v>
      </c>
      <c r="K126" t="s">
        <v>36</v>
      </c>
      <c r="L126" t="s">
        <v>118</v>
      </c>
      <c r="M126" s="2">
        <v>107.982</v>
      </c>
      <c r="N126">
        <v>3</v>
      </c>
      <c r="O126" s="3">
        <v>0.4</v>
      </c>
      <c r="P126" s="4">
        <v>-26.9955</v>
      </c>
    </row>
    <row r="127" spans="1:16" x14ac:dyDescent="0.35">
      <c r="A127" t="s">
        <v>518</v>
      </c>
      <c r="B127" s="1" t="s">
        <v>708</v>
      </c>
      <c r="C127" t="s">
        <v>407</v>
      </c>
      <c r="D127" t="s">
        <v>670</v>
      </c>
      <c r="E127" t="s">
        <v>687</v>
      </c>
      <c r="F127" t="s">
        <v>71</v>
      </c>
      <c r="G127" t="s">
        <v>72</v>
      </c>
      <c r="H127" t="s">
        <v>55</v>
      </c>
      <c r="I127" t="s">
        <v>477</v>
      </c>
      <c r="J127" t="s">
        <v>35</v>
      </c>
      <c r="K127" t="s">
        <v>36</v>
      </c>
      <c r="L127" t="s">
        <v>478</v>
      </c>
      <c r="M127" s="2">
        <v>137.94</v>
      </c>
      <c r="N127">
        <v>3</v>
      </c>
      <c r="O127" s="3">
        <v>0</v>
      </c>
      <c r="P127" s="4">
        <v>35.864400000000003</v>
      </c>
    </row>
    <row r="128" spans="1:16" x14ac:dyDescent="0.35">
      <c r="A128" t="s">
        <v>336</v>
      </c>
      <c r="B128" s="1" t="s">
        <v>709</v>
      </c>
      <c r="C128" t="s">
        <v>337</v>
      </c>
      <c r="D128" t="s">
        <v>671</v>
      </c>
      <c r="E128" t="s">
        <v>47</v>
      </c>
      <c r="F128" t="s">
        <v>179</v>
      </c>
      <c r="G128" t="s">
        <v>20</v>
      </c>
      <c r="H128" t="s">
        <v>21</v>
      </c>
      <c r="I128" t="s">
        <v>317</v>
      </c>
      <c r="J128" t="s">
        <v>35</v>
      </c>
      <c r="K128" t="s">
        <v>58</v>
      </c>
      <c r="L128" t="s">
        <v>318</v>
      </c>
      <c r="M128" s="2">
        <v>239.97</v>
      </c>
      <c r="N128">
        <v>3</v>
      </c>
      <c r="O128" s="3">
        <v>0</v>
      </c>
      <c r="P128" s="4">
        <v>26.396699999999999</v>
      </c>
    </row>
    <row r="129" spans="1:16" x14ac:dyDescent="0.35">
      <c r="A129" t="s">
        <v>336</v>
      </c>
      <c r="B129" s="1" t="s">
        <v>709</v>
      </c>
      <c r="C129" t="s">
        <v>337</v>
      </c>
      <c r="D129" t="s">
        <v>671</v>
      </c>
      <c r="E129" t="s">
        <v>47</v>
      </c>
      <c r="F129" t="s">
        <v>179</v>
      </c>
      <c r="G129" t="s">
        <v>20</v>
      </c>
      <c r="H129" t="s">
        <v>21</v>
      </c>
      <c r="I129" t="s">
        <v>338</v>
      </c>
      <c r="J129" t="s">
        <v>15</v>
      </c>
      <c r="K129" t="s">
        <v>31</v>
      </c>
      <c r="L129" t="s">
        <v>339</v>
      </c>
      <c r="M129" s="2">
        <v>37.74</v>
      </c>
      <c r="N129">
        <v>3</v>
      </c>
      <c r="O129" s="3">
        <v>0</v>
      </c>
      <c r="P129" s="4">
        <v>12.8316</v>
      </c>
    </row>
    <row r="130" spans="1:16" x14ac:dyDescent="0.35">
      <c r="A130" t="s">
        <v>482</v>
      </c>
      <c r="B130" s="1" t="s">
        <v>709</v>
      </c>
      <c r="C130" t="s">
        <v>446</v>
      </c>
      <c r="D130" t="s">
        <v>672</v>
      </c>
      <c r="E130" t="s">
        <v>687</v>
      </c>
      <c r="F130" t="s">
        <v>471</v>
      </c>
      <c r="G130" t="s">
        <v>371</v>
      </c>
      <c r="H130" t="s">
        <v>48</v>
      </c>
      <c r="I130" t="s">
        <v>329</v>
      </c>
      <c r="J130" t="s">
        <v>684</v>
      </c>
      <c r="K130" t="s">
        <v>43</v>
      </c>
      <c r="L130" t="s">
        <v>330</v>
      </c>
      <c r="M130" s="2">
        <v>279.89999999999998</v>
      </c>
      <c r="N130">
        <v>5</v>
      </c>
      <c r="O130" s="3">
        <v>0</v>
      </c>
      <c r="P130" s="4">
        <v>137.15100000000001</v>
      </c>
    </row>
    <row r="131" spans="1:16" x14ac:dyDescent="0.35">
      <c r="A131" t="s">
        <v>512</v>
      </c>
      <c r="B131" s="1" t="s">
        <v>709</v>
      </c>
      <c r="C131" t="s">
        <v>422</v>
      </c>
      <c r="D131" t="s">
        <v>673</v>
      </c>
      <c r="E131" t="s">
        <v>47</v>
      </c>
      <c r="F131" t="s">
        <v>71</v>
      </c>
      <c r="G131" t="s">
        <v>72</v>
      </c>
      <c r="H131" t="s">
        <v>55</v>
      </c>
      <c r="I131" t="s">
        <v>389</v>
      </c>
      <c r="J131" t="s">
        <v>35</v>
      </c>
      <c r="K131" t="s">
        <v>58</v>
      </c>
      <c r="L131" t="s">
        <v>390</v>
      </c>
      <c r="M131" s="2">
        <v>449.91</v>
      </c>
      <c r="N131">
        <v>9</v>
      </c>
      <c r="O131" s="3">
        <v>0</v>
      </c>
      <c r="P131" s="4">
        <v>157.46850000000001</v>
      </c>
    </row>
    <row r="132" spans="1:16" x14ac:dyDescent="0.35">
      <c r="A132" t="s">
        <v>462</v>
      </c>
      <c r="B132" s="1" t="s">
        <v>710</v>
      </c>
      <c r="C132" t="s">
        <v>207</v>
      </c>
      <c r="D132" t="s">
        <v>674</v>
      </c>
      <c r="E132" t="s">
        <v>687</v>
      </c>
      <c r="F132" t="s">
        <v>74</v>
      </c>
      <c r="G132" t="s">
        <v>66</v>
      </c>
      <c r="H132" t="s">
        <v>48</v>
      </c>
      <c r="I132" t="s">
        <v>138</v>
      </c>
      <c r="J132" t="s">
        <v>684</v>
      </c>
      <c r="K132" t="s">
        <v>39</v>
      </c>
      <c r="L132" t="s">
        <v>139</v>
      </c>
      <c r="M132" s="2">
        <v>12.128</v>
      </c>
      <c r="N132">
        <v>4</v>
      </c>
      <c r="O132" s="3">
        <v>0.8</v>
      </c>
      <c r="P132" s="4">
        <v>-20.617599999999999</v>
      </c>
    </row>
    <row r="133" spans="1:16" x14ac:dyDescent="0.35">
      <c r="A133" t="s">
        <v>490</v>
      </c>
      <c r="B133" s="1" t="s">
        <v>710</v>
      </c>
      <c r="C133" t="s">
        <v>289</v>
      </c>
      <c r="D133" t="s">
        <v>675</v>
      </c>
      <c r="E133" t="s">
        <v>687</v>
      </c>
      <c r="F133" t="s">
        <v>50</v>
      </c>
      <c r="G133" t="s">
        <v>20</v>
      </c>
      <c r="H133" t="s">
        <v>21</v>
      </c>
      <c r="I133" t="s">
        <v>449</v>
      </c>
      <c r="J133" t="s">
        <v>684</v>
      </c>
      <c r="K133" t="s">
        <v>33</v>
      </c>
      <c r="L133" t="s">
        <v>450</v>
      </c>
      <c r="M133" s="2">
        <v>8.34</v>
      </c>
      <c r="N133">
        <v>3</v>
      </c>
      <c r="O133" s="3">
        <v>0</v>
      </c>
      <c r="P133" s="4">
        <v>2.1684000000000001</v>
      </c>
    </row>
    <row r="134" spans="1:16" x14ac:dyDescent="0.35">
      <c r="A134" t="s">
        <v>490</v>
      </c>
      <c r="B134" s="1" t="s">
        <v>710</v>
      </c>
      <c r="C134" t="s">
        <v>289</v>
      </c>
      <c r="D134" t="s">
        <v>675</v>
      </c>
      <c r="E134" t="s">
        <v>687</v>
      </c>
      <c r="F134" t="s">
        <v>50</v>
      </c>
      <c r="G134" t="s">
        <v>20</v>
      </c>
      <c r="H134" t="s">
        <v>21</v>
      </c>
      <c r="I134" t="s">
        <v>396</v>
      </c>
      <c r="J134" t="s">
        <v>684</v>
      </c>
      <c r="K134" t="s">
        <v>105</v>
      </c>
      <c r="L134" t="s">
        <v>397</v>
      </c>
      <c r="M134" s="2">
        <v>8.57</v>
      </c>
      <c r="N134">
        <v>1</v>
      </c>
      <c r="O134" s="3">
        <v>0</v>
      </c>
      <c r="P134" s="4">
        <v>2.2282000000000002</v>
      </c>
    </row>
    <row r="135" spans="1:16" x14ac:dyDescent="0.35">
      <c r="A135" t="s">
        <v>490</v>
      </c>
      <c r="B135" s="1" t="s">
        <v>710</v>
      </c>
      <c r="C135" t="s">
        <v>289</v>
      </c>
      <c r="D135" t="s">
        <v>675</v>
      </c>
      <c r="E135" t="s">
        <v>687</v>
      </c>
      <c r="F135" t="s">
        <v>50</v>
      </c>
      <c r="G135" t="s">
        <v>20</v>
      </c>
      <c r="H135" t="s">
        <v>21</v>
      </c>
      <c r="I135" t="s">
        <v>180</v>
      </c>
      <c r="J135" t="s">
        <v>684</v>
      </c>
      <c r="K135" t="s">
        <v>39</v>
      </c>
      <c r="L135" t="s">
        <v>181</v>
      </c>
      <c r="M135" s="2">
        <v>119.616</v>
      </c>
      <c r="N135">
        <v>8</v>
      </c>
      <c r="O135" s="3">
        <v>0.2</v>
      </c>
      <c r="P135" s="4">
        <v>40.370399999999997</v>
      </c>
    </row>
    <row r="136" spans="1:16" x14ac:dyDescent="0.35">
      <c r="A136" t="s">
        <v>516</v>
      </c>
      <c r="B136" s="1" t="s">
        <v>710</v>
      </c>
      <c r="C136" t="s">
        <v>288</v>
      </c>
      <c r="D136" t="s">
        <v>676</v>
      </c>
      <c r="E136" t="s">
        <v>687</v>
      </c>
      <c r="F136" t="s">
        <v>71</v>
      </c>
      <c r="G136" t="s">
        <v>72</v>
      </c>
      <c r="H136" t="s">
        <v>55</v>
      </c>
      <c r="I136" t="s">
        <v>270</v>
      </c>
      <c r="J136" t="s">
        <v>684</v>
      </c>
      <c r="K136" t="s">
        <v>22</v>
      </c>
      <c r="L136" t="s">
        <v>271</v>
      </c>
      <c r="M136" s="2">
        <v>5.22</v>
      </c>
      <c r="N136">
        <v>2</v>
      </c>
      <c r="O136" s="3">
        <v>0</v>
      </c>
      <c r="P136" s="4">
        <v>2.4011999999999998</v>
      </c>
    </row>
    <row r="137" spans="1:16" x14ac:dyDescent="0.35">
      <c r="A137" t="s">
        <v>531</v>
      </c>
      <c r="B137" s="1" t="s">
        <v>710</v>
      </c>
      <c r="C137" t="s">
        <v>319</v>
      </c>
      <c r="D137" t="s">
        <v>677</v>
      </c>
      <c r="E137" t="s">
        <v>687</v>
      </c>
      <c r="F137" t="s">
        <v>53</v>
      </c>
      <c r="G137" t="s">
        <v>54</v>
      </c>
      <c r="H137" t="s">
        <v>55</v>
      </c>
      <c r="I137" t="s">
        <v>84</v>
      </c>
      <c r="J137" t="s">
        <v>684</v>
      </c>
      <c r="K137" t="s">
        <v>33</v>
      </c>
      <c r="L137" t="s">
        <v>85</v>
      </c>
      <c r="M137" s="2">
        <v>4.7679999999999998</v>
      </c>
      <c r="N137">
        <v>2</v>
      </c>
      <c r="O137" s="3">
        <v>0.2</v>
      </c>
      <c r="P137" s="4">
        <v>0.4768</v>
      </c>
    </row>
    <row r="138" spans="1:16" x14ac:dyDescent="0.35">
      <c r="A138" t="s">
        <v>541</v>
      </c>
      <c r="B138" s="1" t="s">
        <v>710</v>
      </c>
      <c r="C138" t="s">
        <v>414</v>
      </c>
      <c r="D138" t="s">
        <v>651</v>
      </c>
      <c r="E138" t="s">
        <v>687</v>
      </c>
      <c r="F138" t="s">
        <v>403</v>
      </c>
      <c r="G138" t="s">
        <v>93</v>
      </c>
      <c r="H138" t="s">
        <v>48</v>
      </c>
      <c r="I138" t="s">
        <v>447</v>
      </c>
      <c r="J138" t="s">
        <v>684</v>
      </c>
      <c r="K138" t="s">
        <v>43</v>
      </c>
      <c r="L138" t="s">
        <v>448</v>
      </c>
      <c r="M138" s="2">
        <v>12.96</v>
      </c>
      <c r="N138">
        <v>2</v>
      </c>
      <c r="O138" s="3">
        <v>0</v>
      </c>
      <c r="P138" s="4">
        <v>6.2207999999999997</v>
      </c>
    </row>
    <row r="139" spans="1:16" x14ac:dyDescent="0.35">
      <c r="A139" t="s">
        <v>541</v>
      </c>
      <c r="B139" s="1" t="s">
        <v>710</v>
      </c>
      <c r="C139" t="s">
        <v>414</v>
      </c>
      <c r="D139" t="s">
        <v>651</v>
      </c>
      <c r="E139" t="s">
        <v>687</v>
      </c>
      <c r="F139" t="s">
        <v>403</v>
      </c>
      <c r="G139" t="s">
        <v>93</v>
      </c>
      <c r="H139" t="s">
        <v>48</v>
      </c>
      <c r="I139" t="s">
        <v>252</v>
      </c>
      <c r="J139" t="s">
        <v>684</v>
      </c>
      <c r="K139" t="s">
        <v>43</v>
      </c>
      <c r="L139" t="s">
        <v>253</v>
      </c>
      <c r="M139" s="2">
        <v>94.85</v>
      </c>
      <c r="N139">
        <v>5</v>
      </c>
      <c r="O139" s="3">
        <v>0</v>
      </c>
      <c r="P139" s="4">
        <v>45.527999999999999</v>
      </c>
    </row>
    <row r="140" spans="1:16" x14ac:dyDescent="0.35">
      <c r="A140" t="s">
        <v>541</v>
      </c>
      <c r="B140" s="1" t="s">
        <v>710</v>
      </c>
      <c r="C140" t="s">
        <v>414</v>
      </c>
      <c r="D140" t="s">
        <v>651</v>
      </c>
      <c r="E140" t="s">
        <v>687</v>
      </c>
      <c r="F140" t="s">
        <v>403</v>
      </c>
      <c r="G140" t="s">
        <v>93</v>
      </c>
      <c r="H140" t="s">
        <v>48</v>
      </c>
      <c r="I140" t="s">
        <v>109</v>
      </c>
      <c r="J140" t="s">
        <v>684</v>
      </c>
      <c r="K140" t="s">
        <v>27</v>
      </c>
      <c r="L140" t="s">
        <v>110</v>
      </c>
      <c r="M140" s="2">
        <v>13.48</v>
      </c>
      <c r="N140">
        <v>1</v>
      </c>
      <c r="O140" s="3">
        <v>0</v>
      </c>
      <c r="P140" s="4">
        <v>3.5047999999999999</v>
      </c>
    </row>
    <row r="141" spans="1:16" x14ac:dyDescent="0.35">
      <c r="A141" t="s">
        <v>541</v>
      </c>
      <c r="B141" s="1" t="s">
        <v>710</v>
      </c>
      <c r="C141" t="s">
        <v>414</v>
      </c>
      <c r="D141" t="s">
        <v>651</v>
      </c>
      <c r="E141" t="s">
        <v>687</v>
      </c>
      <c r="F141" t="s">
        <v>403</v>
      </c>
      <c r="G141" t="s">
        <v>93</v>
      </c>
      <c r="H141" t="s">
        <v>48</v>
      </c>
      <c r="I141" t="s">
        <v>208</v>
      </c>
      <c r="J141" t="s">
        <v>15</v>
      </c>
      <c r="K141" t="s">
        <v>31</v>
      </c>
      <c r="L141" t="s">
        <v>209</v>
      </c>
      <c r="M141" s="2">
        <v>14.91</v>
      </c>
      <c r="N141">
        <v>3</v>
      </c>
      <c r="O141" s="3">
        <v>0</v>
      </c>
      <c r="P141" s="4">
        <v>4.6220999999999997</v>
      </c>
    </row>
    <row r="142" spans="1:16" x14ac:dyDescent="0.35">
      <c r="A142" t="s">
        <v>239</v>
      </c>
      <c r="B142" s="1" t="s">
        <v>711</v>
      </c>
      <c r="C142" t="s">
        <v>240</v>
      </c>
      <c r="D142" t="s">
        <v>678</v>
      </c>
      <c r="E142" t="s">
        <v>18</v>
      </c>
      <c r="F142" t="s">
        <v>153</v>
      </c>
      <c r="G142" t="s">
        <v>93</v>
      </c>
      <c r="H142" t="s">
        <v>48</v>
      </c>
      <c r="I142" t="s">
        <v>241</v>
      </c>
      <c r="J142" t="s">
        <v>684</v>
      </c>
      <c r="K142" t="s">
        <v>39</v>
      </c>
      <c r="L142" t="s">
        <v>242</v>
      </c>
      <c r="M142" s="2">
        <v>18.28</v>
      </c>
      <c r="N142">
        <v>2</v>
      </c>
      <c r="O142" s="3">
        <v>0</v>
      </c>
      <c r="P142" s="4">
        <v>9.14</v>
      </c>
    </row>
    <row r="143" spans="1:16" x14ac:dyDescent="0.35">
      <c r="A143" t="s">
        <v>239</v>
      </c>
      <c r="B143" s="1" t="s">
        <v>711</v>
      </c>
      <c r="C143" t="s">
        <v>240</v>
      </c>
      <c r="D143" t="s">
        <v>678</v>
      </c>
      <c r="E143" t="s">
        <v>18</v>
      </c>
      <c r="F143" t="s">
        <v>153</v>
      </c>
      <c r="G143" t="s">
        <v>93</v>
      </c>
      <c r="H143" t="s">
        <v>48</v>
      </c>
      <c r="I143" t="s">
        <v>141</v>
      </c>
      <c r="J143" t="s">
        <v>35</v>
      </c>
      <c r="K143" t="s">
        <v>36</v>
      </c>
      <c r="L143" t="s">
        <v>142</v>
      </c>
      <c r="M143" s="2">
        <v>207</v>
      </c>
      <c r="N143">
        <v>3</v>
      </c>
      <c r="O143" s="3">
        <v>0</v>
      </c>
      <c r="P143" s="4">
        <v>51.75</v>
      </c>
    </row>
    <row r="144" spans="1:16" x14ac:dyDescent="0.35">
      <c r="A144" t="s">
        <v>239</v>
      </c>
      <c r="B144" s="1" t="s">
        <v>711</v>
      </c>
      <c r="C144" t="s">
        <v>240</v>
      </c>
      <c r="D144" t="s">
        <v>678</v>
      </c>
      <c r="E144" t="s">
        <v>18</v>
      </c>
      <c r="F144" t="s">
        <v>153</v>
      </c>
      <c r="G144" t="s">
        <v>93</v>
      </c>
      <c r="H144" t="s">
        <v>48</v>
      </c>
      <c r="I144" t="s">
        <v>243</v>
      </c>
      <c r="J144" t="s">
        <v>684</v>
      </c>
      <c r="K144" t="s">
        <v>39</v>
      </c>
      <c r="L144" t="s">
        <v>244</v>
      </c>
      <c r="M144" s="2">
        <v>32.35</v>
      </c>
      <c r="N144">
        <v>5</v>
      </c>
      <c r="O144" s="3">
        <v>0</v>
      </c>
      <c r="P144" s="4">
        <v>16.175000000000001</v>
      </c>
    </row>
    <row r="145" spans="1:16" x14ac:dyDescent="0.35">
      <c r="A145" t="s">
        <v>239</v>
      </c>
      <c r="B145" s="1" t="s">
        <v>711</v>
      </c>
      <c r="C145" t="s">
        <v>240</v>
      </c>
      <c r="D145" t="s">
        <v>678</v>
      </c>
      <c r="E145" t="s">
        <v>18</v>
      </c>
      <c r="F145" t="s">
        <v>153</v>
      </c>
      <c r="G145" t="s">
        <v>93</v>
      </c>
      <c r="H145" t="s">
        <v>48</v>
      </c>
      <c r="I145" t="s">
        <v>38</v>
      </c>
      <c r="J145" t="s">
        <v>684</v>
      </c>
      <c r="K145" t="s">
        <v>39</v>
      </c>
      <c r="L145" t="s">
        <v>40</v>
      </c>
      <c r="M145" s="2">
        <v>7.71</v>
      </c>
      <c r="N145">
        <v>1</v>
      </c>
      <c r="O145" s="3">
        <v>0</v>
      </c>
      <c r="P145" s="4">
        <v>3.4695</v>
      </c>
    </row>
    <row r="146" spans="1:16" x14ac:dyDescent="0.35">
      <c r="A146" t="s">
        <v>239</v>
      </c>
      <c r="B146" s="1" t="s">
        <v>711</v>
      </c>
      <c r="C146" t="s">
        <v>240</v>
      </c>
      <c r="D146" t="s">
        <v>678</v>
      </c>
      <c r="E146" t="s">
        <v>18</v>
      </c>
      <c r="F146" t="s">
        <v>153</v>
      </c>
      <c r="G146" t="s">
        <v>93</v>
      </c>
      <c r="H146" t="s">
        <v>48</v>
      </c>
      <c r="I146" t="s">
        <v>245</v>
      </c>
      <c r="J146" t="s">
        <v>684</v>
      </c>
      <c r="K146" t="s">
        <v>33</v>
      </c>
      <c r="L146" t="s">
        <v>246</v>
      </c>
      <c r="M146" s="2">
        <v>40.299999999999997</v>
      </c>
      <c r="N146">
        <v>2</v>
      </c>
      <c r="O146" s="3">
        <v>0</v>
      </c>
      <c r="P146" s="4">
        <v>10.881</v>
      </c>
    </row>
    <row r="147" spans="1:16" x14ac:dyDescent="0.35">
      <c r="A147" t="s">
        <v>239</v>
      </c>
      <c r="B147" s="1" t="s">
        <v>711</v>
      </c>
      <c r="C147" t="s">
        <v>240</v>
      </c>
      <c r="D147" t="s">
        <v>678</v>
      </c>
      <c r="E147" t="s">
        <v>18</v>
      </c>
      <c r="F147" t="s">
        <v>153</v>
      </c>
      <c r="G147" t="s">
        <v>93</v>
      </c>
      <c r="H147" t="s">
        <v>48</v>
      </c>
      <c r="I147" t="s">
        <v>247</v>
      </c>
      <c r="J147" t="s">
        <v>15</v>
      </c>
      <c r="K147" t="s">
        <v>31</v>
      </c>
      <c r="L147" t="s">
        <v>248</v>
      </c>
      <c r="M147" s="2">
        <v>34.58</v>
      </c>
      <c r="N147">
        <v>7</v>
      </c>
      <c r="O147" s="3">
        <v>0</v>
      </c>
      <c r="P147" s="4">
        <v>14.5236</v>
      </c>
    </row>
    <row r="148" spans="1:16" x14ac:dyDescent="0.35">
      <c r="A148" t="s">
        <v>441</v>
      </c>
      <c r="B148" s="1" t="s">
        <v>711</v>
      </c>
      <c r="C148" t="s">
        <v>342</v>
      </c>
      <c r="D148" t="s">
        <v>679</v>
      </c>
      <c r="E148" t="s">
        <v>687</v>
      </c>
      <c r="F148" t="s">
        <v>50</v>
      </c>
      <c r="G148" t="s">
        <v>20</v>
      </c>
      <c r="H148" t="s">
        <v>21</v>
      </c>
      <c r="I148" t="s">
        <v>216</v>
      </c>
      <c r="J148" t="s">
        <v>684</v>
      </c>
      <c r="K148" t="s">
        <v>27</v>
      </c>
      <c r="L148" t="s">
        <v>217</v>
      </c>
      <c r="M148" s="2">
        <v>129.30000000000001</v>
      </c>
      <c r="N148">
        <v>2</v>
      </c>
      <c r="O148" s="3">
        <v>0</v>
      </c>
      <c r="P148" s="4">
        <v>6.4649999999999999</v>
      </c>
    </row>
    <row r="149" spans="1:16" x14ac:dyDescent="0.35">
      <c r="A149" t="s">
        <v>472</v>
      </c>
      <c r="B149" s="1" t="s">
        <v>711</v>
      </c>
      <c r="C149" t="s">
        <v>215</v>
      </c>
      <c r="D149" t="s">
        <v>680</v>
      </c>
      <c r="E149" t="s">
        <v>47</v>
      </c>
      <c r="F149" t="s">
        <v>50</v>
      </c>
      <c r="G149" t="s">
        <v>20</v>
      </c>
      <c r="H149" t="s">
        <v>21</v>
      </c>
      <c r="I149" t="s">
        <v>309</v>
      </c>
      <c r="J149" t="s">
        <v>684</v>
      </c>
      <c r="K149" t="s">
        <v>33</v>
      </c>
      <c r="L149" t="s">
        <v>310</v>
      </c>
      <c r="M149" s="2">
        <v>12.74</v>
      </c>
      <c r="N149">
        <v>7</v>
      </c>
      <c r="O149" s="3">
        <v>0</v>
      </c>
      <c r="P149" s="4">
        <v>5.7329999999999997</v>
      </c>
    </row>
    <row r="150" spans="1:16" x14ac:dyDescent="0.35">
      <c r="A150" t="s">
        <v>472</v>
      </c>
      <c r="B150" s="1" t="s">
        <v>711</v>
      </c>
      <c r="C150" t="s">
        <v>215</v>
      </c>
      <c r="D150" t="s">
        <v>680</v>
      </c>
      <c r="E150" t="s">
        <v>47</v>
      </c>
      <c r="F150" t="s">
        <v>50</v>
      </c>
      <c r="G150" t="s">
        <v>20</v>
      </c>
      <c r="H150" t="s">
        <v>21</v>
      </c>
      <c r="I150" t="s">
        <v>473</v>
      </c>
      <c r="J150" t="s">
        <v>684</v>
      </c>
      <c r="K150" t="s">
        <v>33</v>
      </c>
      <c r="L150" t="s">
        <v>474</v>
      </c>
      <c r="M150" s="2">
        <v>8.82</v>
      </c>
      <c r="N150">
        <v>3</v>
      </c>
      <c r="O150" s="3">
        <v>0</v>
      </c>
      <c r="P150" s="4">
        <v>2.3814000000000002</v>
      </c>
    </row>
    <row r="151" spans="1:16" x14ac:dyDescent="0.35">
      <c r="A151" t="s">
        <v>472</v>
      </c>
      <c r="B151" s="1" t="s">
        <v>711</v>
      </c>
      <c r="C151" t="s">
        <v>215</v>
      </c>
      <c r="D151" t="s">
        <v>680</v>
      </c>
      <c r="E151" t="s">
        <v>47</v>
      </c>
      <c r="F151" t="s">
        <v>50</v>
      </c>
      <c r="G151" t="s">
        <v>20</v>
      </c>
      <c r="H151" t="s">
        <v>21</v>
      </c>
      <c r="I151" t="s">
        <v>86</v>
      </c>
      <c r="J151" t="s">
        <v>15</v>
      </c>
      <c r="K151" t="s">
        <v>17</v>
      </c>
      <c r="L151" t="s">
        <v>87</v>
      </c>
      <c r="M151" s="2">
        <v>120.78400000000001</v>
      </c>
      <c r="N151">
        <v>1</v>
      </c>
      <c r="O151" s="3">
        <v>0.2</v>
      </c>
      <c r="P151" s="4">
        <v>-13.588200000000001</v>
      </c>
    </row>
    <row r="152" spans="1:16" x14ac:dyDescent="0.35">
      <c r="A152" t="s">
        <v>495</v>
      </c>
      <c r="B152" s="1" t="s">
        <v>711</v>
      </c>
      <c r="C152" t="s">
        <v>56</v>
      </c>
      <c r="D152" t="s">
        <v>681</v>
      </c>
      <c r="E152" t="s">
        <v>687</v>
      </c>
      <c r="F152" t="s">
        <v>156</v>
      </c>
      <c r="G152" t="s">
        <v>24</v>
      </c>
      <c r="H152" t="s">
        <v>14</v>
      </c>
      <c r="I152" t="s">
        <v>496</v>
      </c>
      <c r="J152" t="s">
        <v>15</v>
      </c>
      <c r="K152" t="s">
        <v>17</v>
      </c>
      <c r="L152" t="s">
        <v>497</v>
      </c>
      <c r="M152" s="2">
        <v>419.13600000000002</v>
      </c>
      <c r="N152">
        <v>4</v>
      </c>
      <c r="O152" s="3">
        <v>0.2</v>
      </c>
      <c r="P152" s="4">
        <v>-68.1096</v>
      </c>
    </row>
    <row r="153" spans="1:16" x14ac:dyDescent="0.35">
      <c r="A153" t="s">
        <v>527</v>
      </c>
      <c r="B153" s="1" t="s">
        <v>711</v>
      </c>
      <c r="C153" t="s">
        <v>320</v>
      </c>
      <c r="D153" t="s">
        <v>682</v>
      </c>
      <c r="E153" t="s">
        <v>687</v>
      </c>
      <c r="F153" t="s">
        <v>88</v>
      </c>
      <c r="G153" t="s">
        <v>66</v>
      </c>
      <c r="H153" t="s">
        <v>48</v>
      </c>
      <c r="I153" t="s">
        <v>458</v>
      </c>
      <c r="J153" t="s">
        <v>15</v>
      </c>
      <c r="K153" t="s">
        <v>25</v>
      </c>
      <c r="L153" t="s">
        <v>459</v>
      </c>
      <c r="M153" s="2">
        <v>69.375</v>
      </c>
      <c r="N153">
        <v>1</v>
      </c>
      <c r="O153" s="3">
        <v>0.5</v>
      </c>
      <c r="P153" s="4">
        <v>-47.174999999999997</v>
      </c>
    </row>
    <row r="154" spans="1:16" x14ac:dyDescent="0.35">
      <c r="A154" t="s">
        <v>527</v>
      </c>
      <c r="B154" s="1" t="s">
        <v>711</v>
      </c>
      <c r="C154" t="s">
        <v>320</v>
      </c>
      <c r="D154" t="s">
        <v>682</v>
      </c>
      <c r="E154" t="s">
        <v>687</v>
      </c>
      <c r="F154" t="s">
        <v>88</v>
      </c>
      <c r="G154" t="s">
        <v>66</v>
      </c>
      <c r="H154" t="s">
        <v>48</v>
      </c>
      <c r="I154" t="s">
        <v>218</v>
      </c>
      <c r="J154" t="s">
        <v>684</v>
      </c>
      <c r="K154" t="s">
        <v>105</v>
      </c>
      <c r="L154" t="s">
        <v>219</v>
      </c>
      <c r="M154" s="2">
        <v>31.68</v>
      </c>
      <c r="N154">
        <v>4</v>
      </c>
      <c r="O154" s="3">
        <v>0.2</v>
      </c>
      <c r="P154" s="4">
        <v>2.7719999999999998</v>
      </c>
    </row>
    <row r="155" spans="1:16" x14ac:dyDescent="0.35">
      <c r="A155" t="s">
        <v>527</v>
      </c>
      <c r="B155" s="1" t="s">
        <v>711</v>
      </c>
      <c r="C155" t="s">
        <v>320</v>
      </c>
      <c r="D155" t="s">
        <v>682</v>
      </c>
      <c r="E155" t="s">
        <v>687</v>
      </c>
      <c r="F155" t="s">
        <v>88</v>
      </c>
      <c r="G155" t="s">
        <v>66</v>
      </c>
      <c r="H155" t="s">
        <v>48</v>
      </c>
      <c r="I155" t="s">
        <v>486</v>
      </c>
      <c r="J155" t="s">
        <v>35</v>
      </c>
      <c r="K155" t="s">
        <v>36</v>
      </c>
      <c r="L155" t="s">
        <v>487</v>
      </c>
      <c r="M155" s="2">
        <v>2003.1679999999999</v>
      </c>
      <c r="N155">
        <v>4</v>
      </c>
      <c r="O155" s="3">
        <v>0.2</v>
      </c>
      <c r="P155" s="4">
        <v>250.39599999999999</v>
      </c>
    </row>
    <row r="156" spans="1:16" x14ac:dyDescent="0.35">
      <c r="A156" t="s">
        <v>527</v>
      </c>
      <c r="B156" s="1" t="s">
        <v>711</v>
      </c>
      <c r="C156" t="s">
        <v>320</v>
      </c>
      <c r="D156" t="s">
        <v>682</v>
      </c>
      <c r="E156" t="s">
        <v>687</v>
      </c>
      <c r="F156" t="s">
        <v>88</v>
      </c>
      <c r="G156" t="s">
        <v>66</v>
      </c>
      <c r="H156" t="s">
        <v>48</v>
      </c>
      <c r="I156" t="s">
        <v>132</v>
      </c>
      <c r="J156" t="s">
        <v>684</v>
      </c>
      <c r="K156" t="s">
        <v>33</v>
      </c>
      <c r="L156" t="s">
        <v>133</v>
      </c>
      <c r="M156" s="2">
        <v>9.3439999999999994</v>
      </c>
      <c r="N156">
        <v>2</v>
      </c>
      <c r="O156" s="3">
        <v>0.2</v>
      </c>
      <c r="P156" s="4">
        <v>3.1536</v>
      </c>
    </row>
    <row r="157" spans="1:16" x14ac:dyDescent="0.35">
      <c r="A157" t="s">
        <v>530</v>
      </c>
      <c r="B157" s="1" t="s">
        <v>711</v>
      </c>
      <c r="C157" t="s">
        <v>328</v>
      </c>
      <c r="D157" t="s">
        <v>683</v>
      </c>
      <c r="E157" t="s">
        <v>47</v>
      </c>
      <c r="F157" t="s">
        <v>44</v>
      </c>
      <c r="G157" t="s">
        <v>45</v>
      </c>
      <c r="H157" t="s">
        <v>21</v>
      </c>
      <c r="I157" t="s">
        <v>34</v>
      </c>
      <c r="J157" t="s">
        <v>35</v>
      </c>
      <c r="K157" t="s">
        <v>36</v>
      </c>
      <c r="L157" t="s">
        <v>37</v>
      </c>
      <c r="M157" s="2">
        <v>604.76800000000003</v>
      </c>
      <c r="N157">
        <v>4</v>
      </c>
      <c r="O157" s="3">
        <v>0.2</v>
      </c>
      <c r="P157" s="4">
        <v>60.476799999999997</v>
      </c>
    </row>
  </sheetData>
  <mergeCells count="1">
    <mergeCell ref="A1:P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67AE4-AAE7-4814-B94B-28790B9C0E7E}">
  <dimension ref="A1:F69"/>
  <sheetViews>
    <sheetView workbookViewId="0">
      <selection sqref="A1:F1"/>
    </sheetView>
  </sheetViews>
  <sheetFormatPr defaultRowHeight="14.5" x14ac:dyDescent="0.35"/>
  <cols>
    <col min="1" max="1" width="10.90625" bestFit="1" customWidth="1"/>
    <col min="2" max="2" width="17.90625" customWidth="1"/>
    <col min="3" max="3" width="10.90625" bestFit="1" customWidth="1"/>
    <col min="4" max="4" width="17.1796875" bestFit="1" customWidth="1"/>
    <col min="5" max="5" width="17" bestFit="1" customWidth="1"/>
    <col min="6" max="6" width="6.81640625" bestFit="1" customWidth="1"/>
  </cols>
  <sheetData>
    <row r="1" spans="1:6" ht="16" x14ac:dyDescent="0.4">
      <c r="A1" s="13" t="s">
        <v>712</v>
      </c>
      <c r="B1" s="14"/>
      <c r="C1" s="14"/>
      <c r="D1" s="14"/>
      <c r="E1" s="14"/>
      <c r="F1" s="14"/>
    </row>
    <row r="2" spans="1:6" x14ac:dyDescent="0.35">
      <c r="A2" s="6" t="s">
        <v>2</v>
      </c>
      <c r="B2" s="6" t="s">
        <v>616</v>
      </c>
      <c r="C2" s="6" t="s">
        <v>3</v>
      </c>
      <c r="D2" s="6" t="s">
        <v>4</v>
      </c>
      <c r="E2" s="6" t="s">
        <v>5</v>
      </c>
      <c r="F2" s="6" t="s">
        <v>6</v>
      </c>
    </row>
    <row r="3" spans="1:6" x14ac:dyDescent="0.35">
      <c r="A3" t="s">
        <v>256</v>
      </c>
      <c r="B3" t="s">
        <v>617</v>
      </c>
      <c r="C3" t="s">
        <v>687</v>
      </c>
      <c r="D3" t="s">
        <v>257</v>
      </c>
      <c r="E3" t="s">
        <v>95</v>
      </c>
      <c r="F3" t="s">
        <v>55</v>
      </c>
    </row>
    <row r="4" spans="1:6" x14ac:dyDescent="0.35">
      <c r="A4" t="s">
        <v>98</v>
      </c>
      <c r="B4" t="s">
        <v>618</v>
      </c>
      <c r="C4" t="s">
        <v>687</v>
      </c>
      <c r="D4" t="s">
        <v>19</v>
      </c>
      <c r="E4" t="s">
        <v>20</v>
      </c>
      <c r="F4" t="s">
        <v>21</v>
      </c>
    </row>
    <row r="5" spans="1:6" x14ac:dyDescent="0.35">
      <c r="A5" t="s">
        <v>356</v>
      </c>
      <c r="B5" t="s">
        <v>619</v>
      </c>
      <c r="C5" t="s">
        <v>47</v>
      </c>
      <c r="D5" t="s">
        <v>107</v>
      </c>
      <c r="E5" t="s">
        <v>49</v>
      </c>
      <c r="F5" t="s">
        <v>48</v>
      </c>
    </row>
    <row r="6" spans="1:6" x14ac:dyDescent="0.35">
      <c r="A6" t="s">
        <v>90</v>
      </c>
      <c r="B6" t="s">
        <v>620</v>
      </c>
      <c r="C6" t="s">
        <v>687</v>
      </c>
      <c r="D6" t="s">
        <v>176</v>
      </c>
      <c r="E6" t="s">
        <v>688</v>
      </c>
      <c r="F6" t="s">
        <v>48</v>
      </c>
    </row>
    <row r="7" spans="1:6" x14ac:dyDescent="0.35">
      <c r="A7" t="s">
        <v>324</v>
      </c>
      <c r="B7" t="s">
        <v>621</v>
      </c>
      <c r="C7" t="s">
        <v>18</v>
      </c>
      <c r="D7" t="s">
        <v>163</v>
      </c>
      <c r="E7" t="s">
        <v>42</v>
      </c>
      <c r="F7" t="s">
        <v>14</v>
      </c>
    </row>
    <row r="8" spans="1:6" x14ac:dyDescent="0.35">
      <c r="A8" t="s">
        <v>504</v>
      </c>
      <c r="B8" t="s">
        <v>622</v>
      </c>
      <c r="C8" t="s">
        <v>687</v>
      </c>
      <c r="D8" t="s">
        <v>352</v>
      </c>
      <c r="E8" t="s">
        <v>688</v>
      </c>
      <c r="F8" t="s">
        <v>48</v>
      </c>
    </row>
    <row r="9" spans="1:6" x14ac:dyDescent="0.35">
      <c r="A9" t="s">
        <v>521</v>
      </c>
      <c r="B9" t="s">
        <v>623</v>
      </c>
      <c r="C9" t="s">
        <v>18</v>
      </c>
      <c r="D9" t="s">
        <v>19</v>
      </c>
      <c r="E9" t="s">
        <v>20</v>
      </c>
      <c r="F9" t="s">
        <v>21</v>
      </c>
    </row>
    <row r="10" spans="1:6" x14ac:dyDescent="0.35">
      <c r="A10" t="s">
        <v>129</v>
      </c>
      <c r="B10" t="s">
        <v>624</v>
      </c>
      <c r="C10" t="s">
        <v>687</v>
      </c>
      <c r="D10" t="s">
        <v>391</v>
      </c>
      <c r="E10" t="s">
        <v>20</v>
      </c>
      <c r="F10" t="s">
        <v>21</v>
      </c>
    </row>
    <row r="11" spans="1:6" x14ac:dyDescent="0.35">
      <c r="A11" t="s">
        <v>182</v>
      </c>
      <c r="B11" t="s">
        <v>625</v>
      </c>
      <c r="C11" t="s">
        <v>687</v>
      </c>
      <c r="D11" t="s">
        <v>50</v>
      </c>
      <c r="E11" t="s">
        <v>20</v>
      </c>
      <c r="F11" t="s">
        <v>21</v>
      </c>
    </row>
    <row r="12" spans="1:6" x14ac:dyDescent="0.35">
      <c r="A12" t="s">
        <v>254</v>
      </c>
      <c r="B12" t="s">
        <v>626</v>
      </c>
      <c r="C12" t="s">
        <v>18</v>
      </c>
      <c r="D12" t="s">
        <v>125</v>
      </c>
      <c r="E12" t="s">
        <v>69</v>
      </c>
      <c r="F12" t="s">
        <v>48</v>
      </c>
    </row>
    <row r="13" spans="1:6" x14ac:dyDescent="0.35">
      <c r="A13" t="s">
        <v>343</v>
      </c>
      <c r="B13" t="s">
        <v>627</v>
      </c>
      <c r="C13" t="s">
        <v>687</v>
      </c>
      <c r="D13" t="s">
        <v>395</v>
      </c>
      <c r="E13" t="s">
        <v>24</v>
      </c>
      <c r="F13" t="s">
        <v>14</v>
      </c>
    </row>
    <row r="14" spans="1:6" x14ac:dyDescent="0.35">
      <c r="A14" t="s">
        <v>322</v>
      </c>
      <c r="B14" t="s">
        <v>628</v>
      </c>
      <c r="C14" t="s">
        <v>687</v>
      </c>
      <c r="D14" t="s">
        <v>140</v>
      </c>
      <c r="E14" t="s">
        <v>20</v>
      </c>
      <c r="F14" t="s">
        <v>21</v>
      </c>
    </row>
    <row r="15" spans="1:6" x14ac:dyDescent="0.35">
      <c r="A15" t="s">
        <v>409</v>
      </c>
      <c r="B15" t="s">
        <v>629</v>
      </c>
      <c r="C15" t="s">
        <v>18</v>
      </c>
      <c r="D15" t="s">
        <v>44</v>
      </c>
      <c r="E15" t="s">
        <v>45</v>
      </c>
      <c r="F15" t="s">
        <v>21</v>
      </c>
    </row>
    <row r="16" spans="1:6" x14ac:dyDescent="0.35">
      <c r="A16" t="s">
        <v>327</v>
      </c>
      <c r="B16" t="s">
        <v>630</v>
      </c>
      <c r="C16" t="s">
        <v>687</v>
      </c>
      <c r="D16" t="s">
        <v>53</v>
      </c>
      <c r="E16" t="s">
        <v>54</v>
      </c>
      <c r="F16" t="s">
        <v>55</v>
      </c>
    </row>
    <row r="17" spans="1:6" x14ac:dyDescent="0.35">
      <c r="A17" t="s">
        <v>367</v>
      </c>
      <c r="B17" t="s">
        <v>631</v>
      </c>
      <c r="C17" t="s">
        <v>47</v>
      </c>
      <c r="D17" t="s">
        <v>45</v>
      </c>
      <c r="E17" t="s">
        <v>290</v>
      </c>
      <c r="F17" t="s">
        <v>55</v>
      </c>
    </row>
    <row r="18" spans="1:6" x14ac:dyDescent="0.35">
      <c r="A18" t="s">
        <v>261</v>
      </c>
      <c r="B18" t="s">
        <v>632</v>
      </c>
      <c r="C18" t="s">
        <v>18</v>
      </c>
      <c r="D18" t="s">
        <v>50</v>
      </c>
      <c r="E18" t="s">
        <v>20</v>
      </c>
      <c r="F18" t="s">
        <v>21</v>
      </c>
    </row>
    <row r="19" spans="1:6" x14ac:dyDescent="0.35">
      <c r="A19" t="s">
        <v>126</v>
      </c>
      <c r="B19" t="s">
        <v>633</v>
      </c>
      <c r="C19" t="s">
        <v>18</v>
      </c>
      <c r="D19" t="s">
        <v>124</v>
      </c>
      <c r="E19" t="s">
        <v>688</v>
      </c>
      <c r="F19" t="s">
        <v>48</v>
      </c>
    </row>
    <row r="20" spans="1:6" x14ac:dyDescent="0.35">
      <c r="A20" t="s">
        <v>321</v>
      </c>
      <c r="B20" t="s">
        <v>634</v>
      </c>
      <c r="C20" t="s">
        <v>18</v>
      </c>
      <c r="D20" t="s">
        <v>76</v>
      </c>
      <c r="E20" t="s">
        <v>106</v>
      </c>
      <c r="F20" t="s">
        <v>48</v>
      </c>
    </row>
    <row r="21" spans="1:6" x14ac:dyDescent="0.35">
      <c r="A21" t="s">
        <v>222</v>
      </c>
      <c r="B21" t="s">
        <v>635</v>
      </c>
      <c r="C21" t="s">
        <v>687</v>
      </c>
      <c r="D21" t="s">
        <v>163</v>
      </c>
      <c r="E21" t="s">
        <v>42</v>
      </c>
      <c r="F21" t="s">
        <v>14</v>
      </c>
    </row>
    <row r="22" spans="1:6" x14ac:dyDescent="0.35">
      <c r="A22" t="s">
        <v>476</v>
      </c>
      <c r="B22" t="s">
        <v>636</v>
      </c>
      <c r="C22" t="s">
        <v>18</v>
      </c>
      <c r="D22" t="s">
        <v>88</v>
      </c>
      <c r="E22" t="s">
        <v>89</v>
      </c>
      <c r="F22" t="s">
        <v>21</v>
      </c>
    </row>
    <row r="23" spans="1:6" x14ac:dyDescent="0.35">
      <c r="A23" t="s">
        <v>29</v>
      </c>
      <c r="B23" t="s">
        <v>637</v>
      </c>
      <c r="C23" t="s">
        <v>687</v>
      </c>
      <c r="D23" t="s">
        <v>387</v>
      </c>
      <c r="E23" t="s">
        <v>80</v>
      </c>
      <c r="F23" t="s">
        <v>14</v>
      </c>
    </row>
    <row r="24" spans="1:6" x14ac:dyDescent="0.35">
      <c r="A24" t="s">
        <v>23</v>
      </c>
      <c r="B24" t="s">
        <v>638</v>
      </c>
      <c r="C24" t="s">
        <v>687</v>
      </c>
      <c r="D24" t="s">
        <v>19</v>
      </c>
      <c r="E24" t="s">
        <v>20</v>
      </c>
      <c r="F24" t="s">
        <v>21</v>
      </c>
    </row>
    <row r="25" spans="1:6" x14ac:dyDescent="0.35">
      <c r="A25" t="s">
        <v>294</v>
      </c>
      <c r="B25" t="s">
        <v>639</v>
      </c>
      <c r="C25" t="s">
        <v>47</v>
      </c>
      <c r="D25" t="s">
        <v>160</v>
      </c>
      <c r="E25" t="s">
        <v>70</v>
      </c>
      <c r="F25" t="s">
        <v>48</v>
      </c>
    </row>
    <row r="26" spans="1:6" x14ac:dyDescent="0.35">
      <c r="A26" t="s">
        <v>285</v>
      </c>
      <c r="B26" t="s">
        <v>640</v>
      </c>
      <c r="C26" t="s">
        <v>687</v>
      </c>
      <c r="D26" t="s">
        <v>53</v>
      </c>
      <c r="E26" t="s">
        <v>54</v>
      </c>
      <c r="F26" t="s">
        <v>55</v>
      </c>
    </row>
    <row r="27" spans="1:6" x14ac:dyDescent="0.35">
      <c r="A27" t="s">
        <v>167</v>
      </c>
      <c r="B27" t="s">
        <v>641</v>
      </c>
      <c r="C27" t="s">
        <v>687</v>
      </c>
      <c r="D27" t="s">
        <v>152</v>
      </c>
      <c r="E27" t="s">
        <v>145</v>
      </c>
      <c r="F27" t="s">
        <v>55</v>
      </c>
    </row>
    <row r="28" spans="1:6" x14ac:dyDescent="0.35">
      <c r="A28" t="s">
        <v>355</v>
      </c>
      <c r="B28" t="s">
        <v>642</v>
      </c>
      <c r="C28" t="s">
        <v>47</v>
      </c>
      <c r="D28" t="s">
        <v>19</v>
      </c>
      <c r="E28" t="s">
        <v>20</v>
      </c>
      <c r="F28" t="s">
        <v>21</v>
      </c>
    </row>
    <row r="29" spans="1:6" x14ac:dyDescent="0.35">
      <c r="A29" t="s">
        <v>421</v>
      </c>
      <c r="B29" t="s">
        <v>643</v>
      </c>
      <c r="C29" t="s">
        <v>687</v>
      </c>
      <c r="D29" t="s">
        <v>144</v>
      </c>
      <c r="E29" t="s">
        <v>688</v>
      </c>
      <c r="F29" t="s">
        <v>48</v>
      </c>
    </row>
    <row r="30" spans="1:6" x14ac:dyDescent="0.35">
      <c r="A30" t="s">
        <v>453</v>
      </c>
      <c r="B30" t="s">
        <v>644</v>
      </c>
      <c r="C30" t="s">
        <v>18</v>
      </c>
      <c r="D30" t="s">
        <v>19</v>
      </c>
      <c r="E30" t="s">
        <v>20</v>
      </c>
      <c r="F30" t="s">
        <v>21</v>
      </c>
    </row>
    <row r="31" spans="1:6" x14ac:dyDescent="0.35">
      <c r="A31" t="s">
        <v>347</v>
      </c>
      <c r="B31" t="s">
        <v>645</v>
      </c>
      <c r="C31" t="s">
        <v>687</v>
      </c>
      <c r="D31" t="s">
        <v>77</v>
      </c>
      <c r="E31" t="s">
        <v>69</v>
      </c>
      <c r="F31" t="s">
        <v>48</v>
      </c>
    </row>
    <row r="32" spans="1:6" x14ac:dyDescent="0.35">
      <c r="A32" t="s">
        <v>249</v>
      </c>
      <c r="B32" t="s">
        <v>646</v>
      </c>
      <c r="C32" t="s">
        <v>687</v>
      </c>
      <c r="D32" t="s">
        <v>378</v>
      </c>
      <c r="E32" t="s">
        <v>688</v>
      </c>
      <c r="F32" t="s">
        <v>48</v>
      </c>
    </row>
    <row r="33" spans="1:6" x14ac:dyDescent="0.35">
      <c r="A33" t="s">
        <v>364</v>
      </c>
      <c r="B33" t="s">
        <v>647</v>
      </c>
      <c r="C33" t="s">
        <v>687</v>
      </c>
      <c r="D33" t="s">
        <v>53</v>
      </c>
      <c r="E33" t="s">
        <v>54</v>
      </c>
      <c r="F33" t="s">
        <v>55</v>
      </c>
    </row>
    <row r="34" spans="1:6" x14ac:dyDescent="0.35">
      <c r="A34" t="s">
        <v>370</v>
      </c>
      <c r="B34" t="s">
        <v>648</v>
      </c>
      <c r="C34" t="s">
        <v>687</v>
      </c>
      <c r="D34" t="s">
        <v>225</v>
      </c>
      <c r="E34" t="s">
        <v>404</v>
      </c>
      <c r="F34" t="s">
        <v>55</v>
      </c>
    </row>
    <row r="35" spans="1:6" x14ac:dyDescent="0.35">
      <c r="A35" t="s">
        <v>92</v>
      </c>
      <c r="B35" t="s">
        <v>649</v>
      </c>
      <c r="C35" t="s">
        <v>18</v>
      </c>
      <c r="D35" t="s">
        <v>71</v>
      </c>
      <c r="E35" t="s">
        <v>72</v>
      </c>
      <c r="F35" t="s">
        <v>55</v>
      </c>
    </row>
    <row r="36" spans="1:6" x14ac:dyDescent="0.35">
      <c r="A36" t="s">
        <v>361</v>
      </c>
      <c r="B36" t="s">
        <v>650</v>
      </c>
      <c r="C36" t="s">
        <v>687</v>
      </c>
      <c r="D36" t="s">
        <v>19</v>
      </c>
      <c r="E36" t="s">
        <v>20</v>
      </c>
      <c r="F36" t="s">
        <v>21</v>
      </c>
    </row>
    <row r="37" spans="1:6" x14ac:dyDescent="0.35">
      <c r="A37" t="s">
        <v>414</v>
      </c>
      <c r="B37" t="s">
        <v>651</v>
      </c>
      <c r="C37" t="s">
        <v>687</v>
      </c>
      <c r="D37" t="s">
        <v>50</v>
      </c>
      <c r="E37" t="s">
        <v>20</v>
      </c>
      <c r="F37" t="s">
        <v>21</v>
      </c>
    </row>
    <row r="38" spans="1:6" x14ac:dyDescent="0.35">
      <c r="A38" t="s">
        <v>201</v>
      </c>
      <c r="B38" t="s">
        <v>652</v>
      </c>
      <c r="C38" t="s">
        <v>687</v>
      </c>
      <c r="D38" t="s">
        <v>479</v>
      </c>
      <c r="E38" t="s">
        <v>119</v>
      </c>
      <c r="F38" t="s">
        <v>55</v>
      </c>
    </row>
    <row r="39" spans="1:6" x14ac:dyDescent="0.35">
      <c r="A39" t="s">
        <v>402</v>
      </c>
      <c r="B39" t="s">
        <v>653</v>
      </c>
      <c r="C39" t="s">
        <v>687</v>
      </c>
      <c r="D39" t="s">
        <v>74</v>
      </c>
      <c r="E39" t="s">
        <v>66</v>
      </c>
      <c r="F39" t="s">
        <v>48</v>
      </c>
    </row>
    <row r="40" spans="1:6" x14ac:dyDescent="0.35">
      <c r="A40" t="s">
        <v>229</v>
      </c>
      <c r="B40" t="s">
        <v>654</v>
      </c>
      <c r="C40" t="s">
        <v>47</v>
      </c>
      <c r="D40" t="s">
        <v>44</v>
      </c>
      <c r="E40" t="s">
        <v>45</v>
      </c>
      <c r="F40" t="s">
        <v>21</v>
      </c>
    </row>
    <row r="41" spans="1:6" x14ac:dyDescent="0.35">
      <c r="A41" t="s">
        <v>300</v>
      </c>
      <c r="B41" t="s">
        <v>655</v>
      </c>
      <c r="C41" t="s">
        <v>47</v>
      </c>
      <c r="D41" t="s">
        <v>91</v>
      </c>
      <c r="E41" t="s">
        <v>42</v>
      </c>
      <c r="F41" t="s">
        <v>14</v>
      </c>
    </row>
    <row r="42" spans="1:6" x14ac:dyDescent="0.35">
      <c r="A42" t="s">
        <v>316</v>
      </c>
      <c r="B42" t="s">
        <v>656</v>
      </c>
      <c r="C42" t="s">
        <v>47</v>
      </c>
      <c r="D42" t="s">
        <v>77</v>
      </c>
      <c r="E42" t="s">
        <v>69</v>
      </c>
      <c r="F42" t="s">
        <v>48</v>
      </c>
    </row>
    <row r="43" spans="1:6" x14ac:dyDescent="0.35">
      <c r="A43" t="s">
        <v>432</v>
      </c>
      <c r="B43" t="s">
        <v>657</v>
      </c>
      <c r="C43" t="s">
        <v>687</v>
      </c>
      <c r="D43" t="s">
        <v>88</v>
      </c>
      <c r="E43" t="s">
        <v>66</v>
      </c>
      <c r="F43" t="s">
        <v>48</v>
      </c>
    </row>
    <row r="44" spans="1:6" x14ac:dyDescent="0.35">
      <c r="A44" t="s">
        <v>101</v>
      </c>
      <c r="B44" t="s">
        <v>658</v>
      </c>
      <c r="C44" t="s">
        <v>47</v>
      </c>
      <c r="D44" t="s">
        <v>184</v>
      </c>
      <c r="E44" t="s">
        <v>185</v>
      </c>
      <c r="F44" t="s">
        <v>21</v>
      </c>
    </row>
    <row r="45" spans="1:6" x14ac:dyDescent="0.35">
      <c r="A45" t="s">
        <v>385</v>
      </c>
      <c r="B45" t="s">
        <v>659</v>
      </c>
      <c r="C45" t="s">
        <v>18</v>
      </c>
      <c r="D45" t="s">
        <v>74</v>
      </c>
      <c r="E45" t="s">
        <v>66</v>
      </c>
      <c r="F45" t="s">
        <v>48</v>
      </c>
    </row>
    <row r="46" spans="1:6" x14ac:dyDescent="0.35">
      <c r="A46" t="s">
        <v>197</v>
      </c>
      <c r="B46" t="s">
        <v>660</v>
      </c>
      <c r="C46" t="s">
        <v>18</v>
      </c>
      <c r="D46" t="s">
        <v>125</v>
      </c>
      <c r="E46" t="s">
        <v>69</v>
      </c>
      <c r="F46" t="s">
        <v>48</v>
      </c>
    </row>
    <row r="47" spans="1:6" x14ac:dyDescent="0.35">
      <c r="A47" t="s">
        <v>238</v>
      </c>
      <c r="B47" t="s">
        <v>661</v>
      </c>
      <c r="C47" t="s">
        <v>18</v>
      </c>
      <c r="D47" t="s">
        <v>44</v>
      </c>
      <c r="E47" t="s">
        <v>45</v>
      </c>
      <c r="F47" t="s">
        <v>21</v>
      </c>
    </row>
    <row r="48" spans="1:6" x14ac:dyDescent="0.35">
      <c r="A48" t="s">
        <v>46</v>
      </c>
      <c r="B48" t="s">
        <v>662</v>
      </c>
      <c r="C48" t="s">
        <v>47</v>
      </c>
      <c r="D48" t="s">
        <v>151</v>
      </c>
      <c r="E48" t="s">
        <v>75</v>
      </c>
      <c r="F48" t="s">
        <v>21</v>
      </c>
    </row>
    <row r="49" spans="1:6" x14ac:dyDescent="0.35">
      <c r="A49" t="s">
        <v>206</v>
      </c>
      <c r="B49" t="s">
        <v>663</v>
      </c>
      <c r="C49" t="s">
        <v>687</v>
      </c>
      <c r="D49" t="s">
        <v>331</v>
      </c>
      <c r="E49" t="s">
        <v>150</v>
      </c>
      <c r="F49" t="s">
        <v>14</v>
      </c>
    </row>
    <row r="50" spans="1:6" x14ac:dyDescent="0.35">
      <c r="A50" t="s">
        <v>344</v>
      </c>
      <c r="B50" t="s">
        <v>664</v>
      </c>
      <c r="C50" t="s">
        <v>18</v>
      </c>
      <c r="D50" t="s">
        <v>108</v>
      </c>
      <c r="E50" t="s">
        <v>20</v>
      </c>
      <c r="F50" t="s">
        <v>21</v>
      </c>
    </row>
    <row r="51" spans="1:6" x14ac:dyDescent="0.35">
      <c r="A51" t="s">
        <v>438</v>
      </c>
      <c r="B51" t="s">
        <v>665</v>
      </c>
      <c r="C51" t="s">
        <v>18</v>
      </c>
      <c r="D51" t="s">
        <v>433</v>
      </c>
      <c r="E51" t="s">
        <v>83</v>
      </c>
      <c r="F51" t="s">
        <v>14</v>
      </c>
    </row>
    <row r="52" spans="1:6" x14ac:dyDescent="0.35">
      <c r="A52" t="s">
        <v>13</v>
      </c>
      <c r="B52" t="s">
        <v>666</v>
      </c>
      <c r="C52" t="s">
        <v>687</v>
      </c>
      <c r="D52" t="s">
        <v>65</v>
      </c>
      <c r="E52" t="s">
        <v>688</v>
      </c>
      <c r="F52" t="s">
        <v>48</v>
      </c>
    </row>
    <row r="53" spans="1:6" x14ac:dyDescent="0.35">
      <c r="A53" t="s">
        <v>159</v>
      </c>
      <c r="B53" t="s">
        <v>667</v>
      </c>
      <c r="C53" t="s">
        <v>687</v>
      </c>
      <c r="D53" t="s">
        <v>50</v>
      </c>
      <c r="E53" t="s">
        <v>20</v>
      </c>
      <c r="F53" t="s">
        <v>21</v>
      </c>
    </row>
    <row r="54" spans="1:6" x14ac:dyDescent="0.35">
      <c r="A54" t="s">
        <v>200</v>
      </c>
      <c r="B54" t="s">
        <v>668</v>
      </c>
      <c r="C54" t="s">
        <v>687</v>
      </c>
      <c r="D54" t="s">
        <v>94</v>
      </c>
      <c r="E54" t="s">
        <v>150</v>
      </c>
      <c r="F54" t="s">
        <v>14</v>
      </c>
    </row>
    <row r="55" spans="1:6" x14ac:dyDescent="0.35">
      <c r="A55" t="s">
        <v>399</v>
      </c>
      <c r="B55" t="s">
        <v>669</v>
      </c>
      <c r="C55" t="s">
        <v>687</v>
      </c>
      <c r="D55" t="s">
        <v>357</v>
      </c>
      <c r="E55" t="s">
        <v>95</v>
      </c>
      <c r="F55" t="s">
        <v>55</v>
      </c>
    </row>
    <row r="56" spans="1:6" x14ac:dyDescent="0.35">
      <c r="A56" t="s">
        <v>407</v>
      </c>
      <c r="B56" t="s">
        <v>670</v>
      </c>
      <c r="C56" t="s">
        <v>687</v>
      </c>
      <c r="D56" t="s">
        <v>71</v>
      </c>
      <c r="E56" t="s">
        <v>72</v>
      </c>
      <c r="F56" t="s">
        <v>55</v>
      </c>
    </row>
    <row r="57" spans="1:6" x14ac:dyDescent="0.35">
      <c r="A57" t="s">
        <v>337</v>
      </c>
      <c r="B57" t="s">
        <v>671</v>
      </c>
      <c r="C57" t="s">
        <v>47</v>
      </c>
      <c r="D57" t="s">
        <v>179</v>
      </c>
      <c r="E57" t="s">
        <v>20</v>
      </c>
      <c r="F57" t="s">
        <v>21</v>
      </c>
    </row>
    <row r="58" spans="1:6" x14ac:dyDescent="0.35">
      <c r="A58" t="s">
        <v>446</v>
      </c>
      <c r="B58" t="s">
        <v>672</v>
      </c>
      <c r="C58" t="s">
        <v>687</v>
      </c>
      <c r="D58" t="s">
        <v>471</v>
      </c>
      <c r="E58" t="s">
        <v>371</v>
      </c>
      <c r="F58" t="s">
        <v>48</v>
      </c>
    </row>
    <row r="59" spans="1:6" x14ac:dyDescent="0.35">
      <c r="A59" t="s">
        <v>422</v>
      </c>
      <c r="B59" t="s">
        <v>673</v>
      </c>
      <c r="C59" t="s">
        <v>47</v>
      </c>
      <c r="D59" t="s">
        <v>71</v>
      </c>
      <c r="E59" t="s">
        <v>72</v>
      </c>
      <c r="F59" t="s">
        <v>55</v>
      </c>
    </row>
    <row r="60" spans="1:6" x14ac:dyDescent="0.35">
      <c r="A60" t="s">
        <v>207</v>
      </c>
      <c r="B60" t="s">
        <v>674</v>
      </c>
      <c r="C60" t="s">
        <v>687</v>
      </c>
      <c r="D60" t="s">
        <v>74</v>
      </c>
      <c r="E60" t="s">
        <v>66</v>
      </c>
      <c r="F60" t="s">
        <v>48</v>
      </c>
    </row>
    <row r="61" spans="1:6" x14ac:dyDescent="0.35">
      <c r="A61" t="s">
        <v>289</v>
      </c>
      <c r="B61" t="s">
        <v>675</v>
      </c>
      <c r="C61" t="s">
        <v>687</v>
      </c>
      <c r="D61" t="s">
        <v>50</v>
      </c>
      <c r="E61" t="s">
        <v>20</v>
      </c>
      <c r="F61" t="s">
        <v>21</v>
      </c>
    </row>
    <row r="62" spans="1:6" x14ac:dyDescent="0.35">
      <c r="A62" t="s">
        <v>288</v>
      </c>
      <c r="B62" t="s">
        <v>676</v>
      </c>
      <c r="C62" t="s">
        <v>687</v>
      </c>
      <c r="D62" t="s">
        <v>71</v>
      </c>
      <c r="E62" t="s">
        <v>72</v>
      </c>
      <c r="F62" t="s">
        <v>55</v>
      </c>
    </row>
    <row r="63" spans="1:6" x14ac:dyDescent="0.35">
      <c r="A63" t="s">
        <v>319</v>
      </c>
      <c r="B63" t="s">
        <v>677</v>
      </c>
      <c r="C63" t="s">
        <v>687</v>
      </c>
      <c r="D63" t="s">
        <v>53</v>
      </c>
      <c r="E63" t="s">
        <v>54</v>
      </c>
      <c r="F63" t="s">
        <v>55</v>
      </c>
    </row>
    <row r="64" spans="1:6" x14ac:dyDescent="0.35">
      <c r="A64" t="s">
        <v>240</v>
      </c>
      <c r="B64" t="s">
        <v>678</v>
      </c>
      <c r="C64" t="s">
        <v>18</v>
      </c>
      <c r="D64" t="s">
        <v>153</v>
      </c>
      <c r="E64" t="s">
        <v>93</v>
      </c>
      <c r="F64" t="s">
        <v>48</v>
      </c>
    </row>
    <row r="65" spans="1:6" x14ac:dyDescent="0.35">
      <c r="A65" t="s">
        <v>342</v>
      </c>
      <c r="B65" t="s">
        <v>679</v>
      </c>
      <c r="C65" t="s">
        <v>687</v>
      </c>
      <c r="D65" t="s">
        <v>50</v>
      </c>
      <c r="E65" t="s">
        <v>20</v>
      </c>
      <c r="F65" t="s">
        <v>21</v>
      </c>
    </row>
    <row r="66" spans="1:6" x14ac:dyDescent="0.35">
      <c r="A66" t="s">
        <v>215</v>
      </c>
      <c r="B66" t="s">
        <v>680</v>
      </c>
      <c r="C66" t="s">
        <v>47</v>
      </c>
      <c r="D66" t="s">
        <v>50</v>
      </c>
      <c r="E66" t="s">
        <v>20</v>
      </c>
      <c r="F66" t="s">
        <v>21</v>
      </c>
    </row>
    <row r="67" spans="1:6" x14ac:dyDescent="0.35">
      <c r="A67" t="s">
        <v>56</v>
      </c>
      <c r="B67" t="s">
        <v>681</v>
      </c>
      <c r="C67" t="s">
        <v>687</v>
      </c>
      <c r="D67" t="s">
        <v>156</v>
      </c>
      <c r="E67" t="s">
        <v>24</v>
      </c>
      <c r="F67" t="s">
        <v>14</v>
      </c>
    </row>
    <row r="68" spans="1:6" x14ac:dyDescent="0.35">
      <c r="A68" t="s">
        <v>320</v>
      </c>
      <c r="B68" t="s">
        <v>682</v>
      </c>
      <c r="C68" t="s">
        <v>687</v>
      </c>
      <c r="D68" t="s">
        <v>88</v>
      </c>
      <c r="E68" t="s">
        <v>66</v>
      </c>
      <c r="F68" t="s">
        <v>48</v>
      </c>
    </row>
    <row r="69" spans="1:6" x14ac:dyDescent="0.35">
      <c r="A69" t="s">
        <v>328</v>
      </c>
      <c r="B69" t="s">
        <v>683</v>
      </c>
      <c r="C69" t="s">
        <v>47</v>
      </c>
      <c r="D69" t="s">
        <v>44</v>
      </c>
      <c r="E69" t="s">
        <v>45</v>
      </c>
      <c r="F69" t="s">
        <v>21</v>
      </c>
    </row>
  </sheetData>
  <mergeCells count="1">
    <mergeCell ref="A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D961B-9E6F-423C-A518-D521F38A10EF}">
  <dimension ref="A1:E71"/>
  <sheetViews>
    <sheetView workbookViewId="0">
      <selection activeCell="C8" sqref="C8"/>
    </sheetView>
  </sheetViews>
  <sheetFormatPr defaultRowHeight="14.5" x14ac:dyDescent="0.35"/>
  <cols>
    <col min="1" max="1" width="14.54296875" bestFit="1" customWidth="1"/>
    <col min="2" max="2" width="10.08984375" bestFit="1" customWidth="1"/>
    <col min="3" max="3" width="11.1796875" bestFit="1" customWidth="1"/>
    <col min="4" max="4" width="17.90625" bestFit="1" customWidth="1"/>
    <col min="5" max="5" width="6.81640625" bestFit="1" customWidth="1"/>
  </cols>
  <sheetData>
    <row r="1" spans="1:5" ht="16" x14ac:dyDescent="0.4">
      <c r="A1" s="13" t="s">
        <v>714</v>
      </c>
      <c r="B1" s="14"/>
      <c r="C1" s="14"/>
      <c r="D1" s="14"/>
      <c r="E1" s="14"/>
    </row>
    <row r="2" spans="1:5" x14ac:dyDescent="0.35">
      <c r="A2" s="6" t="s">
        <v>0</v>
      </c>
      <c r="B2" s="6" t="s">
        <v>1</v>
      </c>
      <c r="C2" s="6" t="s">
        <v>2</v>
      </c>
      <c r="D2" s="6" t="s">
        <v>616</v>
      </c>
      <c r="E2" s="6" t="s">
        <v>6</v>
      </c>
    </row>
    <row r="3" spans="1:5" x14ac:dyDescent="0.35">
      <c r="A3" t="s">
        <v>255</v>
      </c>
      <c r="B3" s="1" t="s">
        <v>689</v>
      </c>
      <c r="C3" t="s">
        <v>256</v>
      </c>
      <c r="D3" t="str">
        <f>_xlfn.XLOOKUP(C4,'Cleaned Data'!C3:C157,'Cleaned Data'!D3:D157)</f>
        <v>Steven Cartwright</v>
      </c>
      <c r="E3" t="str">
        <f>_xlfn.XLOOKUP(A3,'Cleaned Data'!A3:A157,'Cleaned Data'!H3:H157)</f>
        <v>East</v>
      </c>
    </row>
    <row r="4" spans="1:5" x14ac:dyDescent="0.35">
      <c r="A4" t="s">
        <v>468</v>
      </c>
      <c r="B4" s="1" t="s">
        <v>689</v>
      </c>
      <c r="C4" t="s">
        <v>98</v>
      </c>
      <c r="D4" t="str">
        <f>_xlfn.XLOOKUP(C5,'Cleaned Data'!C4:C158,'Cleaned Data'!D4:D158)</f>
        <v>Dennis Pardue</v>
      </c>
      <c r="E4" t="str">
        <f>_xlfn.XLOOKUP(A4,'Cleaned Data'!A4:A158,'Cleaned Data'!H4:H158)</f>
        <v>West</v>
      </c>
    </row>
    <row r="5" spans="1:5" x14ac:dyDescent="0.35">
      <c r="A5" t="s">
        <v>511</v>
      </c>
      <c r="B5" s="1" t="s">
        <v>689</v>
      </c>
      <c r="C5" t="s">
        <v>356</v>
      </c>
      <c r="D5" t="str">
        <f>_xlfn.XLOOKUP(C6,'Cleaned Data'!C5:C159,'Cleaned Data'!D5:D159)</f>
        <v>Janet Martin</v>
      </c>
      <c r="E5" t="str">
        <f>_xlfn.XLOOKUP(A5,'Cleaned Data'!A5:A159,'Cleaned Data'!H5:H159)</f>
        <v>Central</v>
      </c>
    </row>
    <row r="6" spans="1:5" x14ac:dyDescent="0.35">
      <c r="A6" t="s">
        <v>526</v>
      </c>
      <c r="B6" s="1" t="s">
        <v>689</v>
      </c>
      <c r="C6" t="s">
        <v>90</v>
      </c>
      <c r="D6" t="str">
        <f>_xlfn.XLOOKUP(C7,'Cleaned Data'!C6:C160,'Cleaned Data'!D6:D160)</f>
        <v>Aaron Smayling</v>
      </c>
      <c r="E6" t="str">
        <f>_xlfn.XLOOKUP(A6,'Cleaned Data'!A6:A160,'Cleaned Data'!H6:H160)</f>
        <v>Central</v>
      </c>
    </row>
    <row r="7" spans="1:5" x14ac:dyDescent="0.35">
      <c r="A7" t="s">
        <v>323</v>
      </c>
      <c r="B7" s="1" t="s">
        <v>690</v>
      </c>
      <c r="C7" t="s">
        <v>324</v>
      </c>
      <c r="D7" t="str">
        <f>_xlfn.XLOOKUP(C8,'Cleaned Data'!C13:C167,'Cleaned Data'!D13:D167)</f>
        <v>Trudy Schmidt</v>
      </c>
      <c r="E7" t="str">
        <f>_xlfn.XLOOKUP(A7,'Cleaned Data'!A13:A167,'Cleaned Data'!H13:H167)</f>
        <v>South</v>
      </c>
    </row>
    <row r="8" spans="1:5" x14ac:dyDescent="0.35">
      <c r="A8" t="s">
        <v>529</v>
      </c>
      <c r="B8" s="1" t="s">
        <v>690</v>
      </c>
      <c r="C8" t="s">
        <v>504</v>
      </c>
      <c r="D8" t="str">
        <f>_xlfn.XLOOKUP(C9,'Cleaned Data'!C16:C170,'Cleaned Data'!D16:D170)</f>
        <v>Fred Wasserman</v>
      </c>
      <c r="E8" t="str">
        <f>_xlfn.XLOOKUP(A8,'Cleaned Data'!A16:A170,'Cleaned Data'!H16:H170)</f>
        <v>Central</v>
      </c>
    </row>
    <row r="9" spans="1:5" x14ac:dyDescent="0.35">
      <c r="A9" t="s">
        <v>538</v>
      </c>
      <c r="B9" s="1" t="s">
        <v>690</v>
      </c>
      <c r="C9" t="s">
        <v>521</v>
      </c>
      <c r="D9" t="str">
        <f>_xlfn.XLOOKUP(C10,'Cleaned Data'!C20:C174,'Cleaned Data'!D20:D174)</f>
        <v>Delfina Latchford</v>
      </c>
      <c r="E9" t="str">
        <f>_xlfn.XLOOKUP(A9,'Cleaned Data'!A20:A174,'Cleaned Data'!H20:H174)</f>
        <v>West</v>
      </c>
    </row>
    <row r="10" spans="1:5" x14ac:dyDescent="0.35">
      <c r="A10" t="s">
        <v>492</v>
      </c>
      <c r="B10" s="1" t="s">
        <v>691</v>
      </c>
      <c r="C10" t="s">
        <v>129</v>
      </c>
      <c r="D10" t="str">
        <f>_xlfn.XLOOKUP(C11,'Cleaned Data'!C21:C175,'Cleaned Data'!D21:D175)</f>
        <v>Christopher Martinez</v>
      </c>
      <c r="E10" t="str">
        <f>_xlfn.XLOOKUP(A10,'Cleaned Data'!A21:A175,'Cleaned Data'!H21:H175)</f>
        <v>West</v>
      </c>
    </row>
    <row r="11" spans="1:5" x14ac:dyDescent="0.35">
      <c r="A11" t="s">
        <v>535</v>
      </c>
      <c r="B11" s="1" t="s">
        <v>691</v>
      </c>
      <c r="C11" t="s">
        <v>182</v>
      </c>
      <c r="D11" t="str">
        <f>_xlfn.XLOOKUP(C12,'Cleaned Data'!C22:C176,'Cleaned Data'!D22:D176)</f>
        <v>Dennis Pardue</v>
      </c>
      <c r="E11" t="str">
        <f>_xlfn.XLOOKUP(A11,'Cleaned Data'!A22:A176,'Cleaned Data'!H22:H176)</f>
        <v>West</v>
      </c>
    </row>
    <row r="12" spans="1:5" x14ac:dyDescent="0.35">
      <c r="A12" t="s">
        <v>484</v>
      </c>
      <c r="B12" s="1" t="s">
        <v>692</v>
      </c>
      <c r="C12" t="s">
        <v>356</v>
      </c>
      <c r="D12" t="str">
        <f>_xlfn.XLOOKUP(C13,'Cleaned Data'!C24:C178,'Cleaned Data'!D24:D178)</f>
        <v>Bart Watters</v>
      </c>
      <c r="E12" t="str">
        <f>_xlfn.XLOOKUP(A12,'Cleaned Data'!A24:A178,'Cleaned Data'!H24:H178)</f>
        <v>South</v>
      </c>
    </row>
    <row r="13" spans="1:5" x14ac:dyDescent="0.35">
      <c r="A13" t="s">
        <v>284</v>
      </c>
      <c r="B13" s="1" t="s">
        <v>693</v>
      </c>
      <c r="C13" t="s">
        <v>254</v>
      </c>
      <c r="D13" t="str">
        <f>_xlfn.XLOOKUP(C14,'Cleaned Data'!C25:C179,'Cleaned Data'!D25:D179)</f>
        <v>Thais Sissman</v>
      </c>
      <c r="E13" t="str">
        <f>_xlfn.XLOOKUP(A13,'Cleaned Data'!A25:A179,'Cleaned Data'!H25:H179)</f>
        <v>Central</v>
      </c>
    </row>
    <row r="14" spans="1:5" x14ac:dyDescent="0.35">
      <c r="A14" t="s">
        <v>394</v>
      </c>
      <c r="B14" s="1" t="s">
        <v>693</v>
      </c>
      <c r="C14" t="s">
        <v>343</v>
      </c>
      <c r="D14" t="str">
        <f>_xlfn.XLOOKUP(C15,'Cleaned Data'!C26:C180,'Cleaned Data'!D26:D180)</f>
        <v>Jamie Frazer</v>
      </c>
      <c r="E14" t="str">
        <f>_xlfn.XLOOKUP(A14,'Cleaned Data'!A26:A180,'Cleaned Data'!H26:H180)</f>
        <v>South</v>
      </c>
    </row>
    <row r="15" spans="1:5" x14ac:dyDescent="0.35">
      <c r="A15" t="s">
        <v>519</v>
      </c>
      <c r="B15" s="1" t="s">
        <v>693</v>
      </c>
      <c r="C15" t="s">
        <v>322</v>
      </c>
      <c r="D15" t="str">
        <f>_xlfn.XLOOKUP(C16,'Cleaned Data'!C27:C181,'Cleaned Data'!D27:D181)</f>
        <v>Ricardo Sperren</v>
      </c>
      <c r="E15" t="str">
        <f>_xlfn.XLOOKUP(A15,'Cleaned Data'!A27:A181,'Cleaned Data'!H27:H181)</f>
        <v>West</v>
      </c>
    </row>
    <row r="16" spans="1:5" x14ac:dyDescent="0.35">
      <c r="A16" t="s">
        <v>408</v>
      </c>
      <c r="B16" s="1" t="s">
        <v>694</v>
      </c>
      <c r="C16" t="s">
        <v>409</v>
      </c>
      <c r="D16" t="str">
        <f>_xlfn.XLOOKUP(C17,'Cleaned Data'!C31:C185,'Cleaned Data'!D31:D185)</f>
        <v>Beth Paige</v>
      </c>
      <c r="E16" t="str">
        <f>_xlfn.XLOOKUP(A16,'Cleaned Data'!A31:A185,'Cleaned Data'!H31:H185)</f>
        <v>West</v>
      </c>
    </row>
    <row r="17" spans="1:5" x14ac:dyDescent="0.35">
      <c r="A17" t="s">
        <v>517</v>
      </c>
      <c r="B17" s="1" t="s">
        <v>695</v>
      </c>
      <c r="C17" t="s">
        <v>327</v>
      </c>
      <c r="D17" t="str">
        <f>_xlfn.XLOOKUP(C18,'Cleaned Data'!C32:C186,'Cleaned Data'!D32:D186)</f>
        <v>Dianna Arnett</v>
      </c>
      <c r="E17" t="str">
        <f>_xlfn.XLOOKUP(A17,'Cleaned Data'!A32:A186,'Cleaned Data'!H32:H186)</f>
        <v>East</v>
      </c>
    </row>
    <row r="18" spans="1:5" x14ac:dyDescent="0.35">
      <c r="A18" t="s">
        <v>372</v>
      </c>
      <c r="B18" s="1" t="s">
        <v>696</v>
      </c>
      <c r="C18" t="s">
        <v>367</v>
      </c>
      <c r="D18" t="str">
        <f>_xlfn.XLOOKUP(C19,'Cleaned Data'!C33:C187,'Cleaned Data'!D33:D187)</f>
        <v>Linda Southworth</v>
      </c>
      <c r="E18" t="str">
        <f>_xlfn.XLOOKUP(A18,'Cleaned Data'!A33:A187,'Cleaned Data'!H33:H187)</f>
        <v>East</v>
      </c>
    </row>
    <row r="19" spans="1:5" x14ac:dyDescent="0.35">
      <c r="A19" t="s">
        <v>503</v>
      </c>
      <c r="B19" s="1" t="s">
        <v>696</v>
      </c>
      <c r="C19" t="s">
        <v>261</v>
      </c>
      <c r="D19" t="str">
        <f>_xlfn.XLOOKUP(C20,'Cleaned Data'!C35:C189,'Cleaned Data'!D35:D189)</f>
        <v>David Bremer</v>
      </c>
      <c r="E19" t="str">
        <f>_xlfn.XLOOKUP(A19,'Cleaned Data'!A35:A189,'Cleaned Data'!H35:H189)</f>
        <v>West</v>
      </c>
    </row>
    <row r="20" spans="1:5" x14ac:dyDescent="0.35">
      <c r="A20" t="s">
        <v>532</v>
      </c>
      <c r="B20" s="1" t="s">
        <v>696</v>
      </c>
      <c r="C20" t="s">
        <v>126</v>
      </c>
      <c r="D20" t="str">
        <f>_xlfn.XLOOKUP(C21,'Cleaned Data'!C36:C190,'Cleaned Data'!D36:D190)</f>
        <v>Cathy Prescott</v>
      </c>
      <c r="E20" t="str">
        <f>_xlfn.XLOOKUP(A20,'Cleaned Data'!A36:A190,'Cleaned Data'!H36:H190)</f>
        <v>Central</v>
      </c>
    </row>
    <row r="21" spans="1:5" x14ac:dyDescent="0.35">
      <c r="A21" t="s">
        <v>510</v>
      </c>
      <c r="B21" s="1" t="s">
        <v>697</v>
      </c>
      <c r="C21" t="s">
        <v>321</v>
      </c>
      <c r="D21" t="str">
        <f>_xlfn.XLOOKUP(C22,'Cleaned Data'!C37:C191,'Cleaned Data'!D37:D191)</f>
        <v>Rob Beeghly</v>
      </c>
      <c r="E21" t="str">
        <f>_xlfn.XLOOKUP(A21,'Cleaned Data'!A37:A191,'Cleaned Data'!H37:H191)</f>
        <v>Central</v>
      </c>
    </row>
    <row r="22" spans="1:5" x14ac:dyDescent="0.35">
      <c r="A22" t="s">
        <v>313</v>
      </c>
      <c r="B22" s="1" t="s">
        <v>698</v>
      </c>
      <c r="C22" t="s">
        <v>222</v>
      </c>
      <c r="D22" t="str">
        <f>_xlfn.XLOOKUP(C23,'Cleaned Data'!C41:C195,'Cleaned Data'!D41:D195)</f>
        <v>Tracy Poddar</v>
      </c>
      <c r="E22" t="str">
        <f>_xlfn.XLOOKUP(A22,'Cleaned Data'!A41:A195,'Cleaned Data'!H41:H195)</f>
        <v>South</v>
      </c>
    </row>
    <row r="23" spans="1:5" x14ac:dyDescent="0.35">
      <c r="A23" t="s">
        <v>475</v>
      </c>
      <c r="B23" s="1" t="s">
        <v>698</v>
      </c>
      <c r="C23" t="s">
        <v>476</v>
      </c>
      <c r="D23" t="str">
        <f>_xlfn.XLOOKUP(C24,'Cleaned Data'!C43:C197,'Cleaned Data'!D43:D197)</f>
        <v>Brosina Hoffman</v>
      </c>
      <c r="E23" t="str">
        <f>_xlfn.XLOOKUP(A23,'Cleaned Data'!A43:A197,'Cleaned Data'!H43:H197)</f>
        <v>West</v>
      </c>
    </row>
    <row r="24" spans="1:5" x14ac:dyDescent="0.35">
      <c r="A24" t="s">
        <v>483</v>
      </c>
      <c r="B24" s="1" t="s">
        <v>698</v>
      </c>
      <c r="C24" t="s">
        <v>29</v>
      </c>
      <c r="D24" t="str">
        <f>_xlfn.XLOOKUP(C25,'Cleaned Data'!C45:C199,'Cleaned Data'!D45:D199)</f>
        <v>Sean O'Donnell</v>
      </c>
      <c r="E24" t="str">
        <f>_xlfn.XLOOKUP(A24,'Cleaned Data'!A45:A199,'Cleaned Data'!H45:H199)</f>
        <v>South</v>
      </c>
    </row>
    <row r="25" spans="1:5" x14ac:dyDescent="0.35">
      <c r="A25" t="s">
        <v>515</v>
      </c>
      <c r="B25" s="1" t="s">
        <v>698</v>
      </c>
      <c r="C25" t="s">
        <v>23</v>
      </c>
      <c r="D25" t="str">
        <f>_xlfn.XLOOKUP(C26,'Cleaned Data'!C50:C204,'Cleaned Data'!D50:D204)</f>
        <v>Hallie Redmond</v>
      </c>
      <c r="E25" t="str">
        <f>_xlfn.XLOOKUP(A25,'Cleaned Data'!A50:A204,'Cleaned Data'!H50:H204)</f>
        <v>West</v>
      </c>
    </row>
    <row r="26" spans="1:5" x14ac:dyDescent="0.35">
      <c r="A26" t="s">
        <v>540</v>
      </c>
      <c r="B26" s="1" t="s">
        <v>698</v>
      </c>
      <c r="C26" t="s">
        <v>294</v>
      </c>
      <c r="D26" t="str">
        <f>_xlfn.XLOOKUP(C27,'Cleaned Data'!C51:C205,'Cleaned Data'!D51:D205)</f>
        <v>Robert Waldorf</v>
      </c>
      <c r="E26" t="str">
        <f>_xlfn.XLOOKUP(A26,'Cleaned Data'!A51:A205,'Cleaned Data'!H51:H205)</f>
        <v>Central</v>
      </c>
    </row>
    <row r="27" spans="1:5" x14ac:dyDescent="0.35">
      <c r="A27" t="s">
        <v>434</v>
      </c>
      <c r="B27" s="1" t="s">
        <v>699</v>
      </c>
      <c r="C27" t="s">
        <v>285</v>
      </c>
      <c r="D27" t="str">
        <f>_xlfn.XLOOKUP(C28,'Cleaned Data'!C59:C213,'Cleaned Data'!D59:D213)</f>
        <v>Sanjit Chand</v>
      </c>
      <c r="E27" t="str">
        <f>_xlfn.XLOOKUP(A27,'Cleaned Data'!A59:A213,'Cleaned Data'!H59:H213)</f>
        <v>East</v>
      </c>
    </row>
    <row r="28" spans="1:5" x14ac:dyDescent="0.35">
      <c r="A28" t="s">
        <v>465</v>
      </c>
      <c r="B28" s="1" t="s">
        <v>699</v>
      </c>
      <c r="C28" t="s">
        <v>167</v>
      </c>
      <c r="D28" t="str">
        <f>_xlfn.XLOOKUP(C29,'Cleaned Data'!C61:C215,'Cleaned Data'!D61:D215)</f>
        <v>Tonja Turnell</v>
      </c>
      <c r="E28" t="str">
        <f>_xlfn.XLOOKUP(A28,'Cleaned Data'!A61:A215,'Cleaned Data'!H61:H215)</f>
        <v>East</v>
      </c>
    </row>
    <row r="29" spans="1:5" x14ac:dyDescent="0.35">
      <c r="A29" t="s">
        <v>491</v>
      </c>
      <c r="B29" s="1" t="s">
        <v>699</v>
      </c>
      <c r="C29" t="s">
        <v>355</v>
      </c>
      <c r="D29" t="str">
        <f>_xlfn.XLOOKUP(C30,'Cleaned Data'!C62:C216,'Cleaned Data'!D62:D216)</f>
        <v>Tim Brockman</v>
      </c>
      <c r="E29" t="str">
        <f>_xlfn.XLOOKUP(A29,'Cleaned Data'!A62:A216,'Cleaned Data'!H62:H216)</f>
        <v>West</v>
      </c>
    </row>
    <row r="30" spans="1:5" x14ac:dyDescent="0.35">
      <c r="A30" t="s">
        <v>506</v>
      </c>
      <c r="B30" s="1" t="s">
        <v>699</v>
      </c>
      <c r="C30" t="s">
        <v>421</v>
      </c>
      <c r="D30" t="str">
        <f>_xlfn.XLOOKUP(C31,'Cleaned Data'!C63:C217,'Cleaned Data'!D63:D217)</f>
        <v>Jack O'Briant</v>
      </c>
      <c r="E30" t="str">
        <f>_xlfn.XLOOKUP(A30,'Cleaned Data'!A63:A217,'Cleaned Data'!H63:H217)</f>
        <v>Central</v>
      </c>
    </row>
    <row r="31" spans="1:5" x14ac:dyDescent="0.35">
      <c r="A31" t="s">
        <v>493</v>
      </c>
      <c r="B31" s="1" t="s">
        <v>700</v>
      </c>
      <c r="C31" t="s">
        <v>453</v>
      </c>
      <c r="D31" t="str">
        <f>_xlfn.XLOOKUP(C32,'Cleaned Data'!C67:C221,'Cleaned Data'!D67:D221)</f>
        <v>Andy Reiter</v>
      </c>
      <c r="E31" t="str">
        <f>_xlfn.XLOOKUP(A31,'Cleaned Data'!A67:A221,'Cleaned Data'!H67:H221)</f>
        <v>West</v>
      </c>
    </row>
    <row r="32" spans="1:5" x14ac:dyDescent="0.35">
      <c r="A32" t="s">
        <v>507</v>
      </c>
      <c r="B32" s="1" t="s">
        <v>700</v>
      </c>
      <c r="C32" t="s">
        <v>347</v>
      </c>
      <c r="D32" t="str">
        <f>_xlfn.XLOOKUP(C33,'Cleaned Data'!C69:C223,'Cleaned Data'!D69:D223)</f>
        <v>Dan Lawera</v>
      </c>
      <c r="E32" t="str">
        <f>_xlfn.XLOOKUP(A32,'Cleaned Data'!A69:A223,'Cleaned Data'!H69:H223)</f>
        <v>Central</v>
      </c>
    </row>
    <row r="33" spans="1:5" x14ac:dyDescent="0.35">
      <c r="A33" t="s">
        <v>377</v>
      </c>
      <c r="B33" s="1" t="s">
        <v>701</v>
      </c>
      <c r="C33" t="s">
        <v>249</v>
      </c>
      <c r="D33" t="str">
        <f>_xlfn.XLOOKUP(C34,'Cleaned Data'!C72:C226,'Cleaned Data'!D72:D226)</f>
        <v>Neola Schneider</v>
      </c>
      <c r="E33" t="str">
        <f>_xlfn.XLOOKUP(A33,'Cleaned Data'!A72:A226,'Cleaned Data'!H72:H226)</f>
        <v>Central</v>
      </c>
    </row>
    <row r="34" spans="1:5" x14ac:dyDescent="0.35">
      <c r="A34" t="s">
        <v>533</v>
      </c>
      <c r="B34" s="1" t="s">
        <v>701</v>
      </c>
      <c r="C34" t="s">
        <v>364</v>
      </c>
      <c r="D34" t="str">
        <f>_xlfn.XLOOKUP(C35,'Cleaned Data'!C73:C227,'Cleaned Data'!D73:D227)</f>
        <v>Raymond Messe</v>
      </c>
      <c r="E34" t="str">
        <f>_xlfn.XLOOKUP(A34,'Cleaned Data'!A73:A227,'Cleaned Data'!H73:H227)</f>
        <v>East</v>
      </c>
    </row>
    <row r="35" spans="1:5" x14ac:dyDescent="0.35">
      <c r="A35" t="s">
        <v>534</v>
      </c>
      <c r="B35" s="1" t="s">
        <v>701</v>
      </c>
      <c r="C35" t="s">
        <v>370</v>
      </c>
      <c r="D35" t="str">
        <f>_xlfn.XLOOKUP(C36,'Cleaned Data'!C77:C231,'Cleaned Data'!D77:D231)</f>
        <v>Cynthia Voltz</v>
      </c>
      <c r="E35" t="str">
        <f>_xlfn.XLOOKUP(A35,'Cleaned Data'!A77:A231,'Cleaned Data'!H77:H231)</f>
        <v>East</v>
      </c>
    </row>
    <row r="36" spans="1:5" x14ac:dyDescent="0.35">
      <c r="A36" t="s">
        <v>164</v>
      </c>
      <c r="B36" s="1" t="s">
        <v>702</v>
      </c>
      <c r="C36" t="s">
        <v>92</v>
      </c>
      <c r="D36" t="str">
        <f>_xlfn.XLOOKUP(C37,'Cleaned Data'!C81:C235,'Cleaned Data'!D81:D235)</f>
        <v>Thea Hendricks</v>
      </c>
      <c r="E36" t="str">
        <f>_xlfn.XLOOKUP(A36,'Cleaned Data'!A81:A235,'Cleaned Data'!H81:H235)</f>
        <v>East</v>
      </c>
    </row>
    <row r="37" spans="1:5" x14ac:dyDescent="0.35">
      <c r="A37" t="s">
        <v>360</v>
      </c>
      <c r="B37" s="1" t="s">
        <v>702</v>
      </c>
      <c r="C37" t="s">
        <v>361</v>
      </c>
      <c r="D37" t="str">
        <f>_xlfn.XLOOKUP(C38,'Cleaned Data'!C82:C236,'Cleaned Data'!D82:D236)</f>
        <v>Tamara Manning</v>
      </c>
      <c r="E37" t="str">
        <f>_xlfn.XLOOKUP(A37,'Cleaned Data'!A82:A236,'Cleaned Data'!H82:H236)</f>
        <v>West</v>
      </c>
    </row>
    <row r="38" spans="1:5" x14ac:dyDescent="0.35">
      <c r="A38" t="s">
        <v>413</v>
      </c>
      <c r="B38" s="1" t="s">
        <v>702</v>
      </c>
      <c r="C38" t="s">
        <v>414</v>
      </c>
      <c r="D38" t="str">
        <f>_xlfn.XLOOKUP(C39,'Cleaned Data'!C83:C237,'Cleaned Data'!D83:D237)</f>
        <v>Jeremy Farry</v>
      </c>
      <c r="E38" t="str">
        <f>_xlfn.XLOOKUP(A38,'Cleaned Data'!A83:A237,'Cleaned Data'!H83:H237)</f>
        <v>West</v>
      </c>
    </row>
    <row r="39" spans="1:5" x14ac:dyDescent="0.35">
      <c r="A39" t="s">
        <v>494</v>
      </c>
      <c r="B39" s="1" t="s">
        <v>702</v>
      </c>
      <c r="C39" t="s">
        <v>201</v>
      </c>
      <c r="D39" t="str">
        <f>_xlfn.XLOOKUP(C40,'Cleaned Data'!C85:C239,'Cleaned Data'!D85:D239)</f>
        <v>Maris LaWare</v>
      </c>
      <c r="E39" t="str">
        <f>_xlfn.XLOOKUP(A39,'Cleaned Data'!A85:A239,'Cleaned Data'!H85:H239)</f>
        <v>East</v>
      </c>
    </row>
    <row r="40" spans="1:5" x14ac:dyDescent="0.35">
      <c r="A40" t="s">
        <v>520</v>
      </c>
      <c r="B40" s="1" t="s">
        <v>702</v>
      </c>
      <c r="C40" t="s">
        <v>402</v>
      </c>
      <c r="D40" t="str">
        <f>_xlfn.XLOOKUP(C41,'Cleaned Data'!C86:C240,'Cleaned Data'!D86:D240)</f>
        <v>Darrin Sayre</v>
      </c>
      <c r="E40" t="str">
        <f>_xlfn.XLOOKUP(A40,'Cleaned Data'!A86:A240,'Cleaned Data'!H86:H240)</f>
        <v>Central</v>
      </c>
    </row>
    <row r="41" spans="1:5" x14ac:dyDescent="0.35">
      <c r="A41" t="s">
        <v>228</v>
      </c>
      <c r="B41" s="1" t="s">
        <v>703</v>
      </c>
      <c r="C41" t="s">
        <v>229</v>
      </c>
      <c r="D41" t="str">
        <f>_xlfn.XLOOKUP(C42,'Cleaned Data'!C87:C241,'Cleaned Data'!D87:D241)</f>
        <v>Penelope Sewall</v>
      </c>
      <c r="E41" t="str">
        <f>_xlfn.XLOOKUP(A41,'Cleaned Data'!A87:A241,'Cleaned Data'!H87:H241)</f>
        <v>West</v>
      </c>
    </row>
    <row r="42" spans="1:5" x14ac:dyDescent="0.35">
      <c r="A42" t="s">
        <v>299</v>
      </c>
      <c r="B42" s="1" t="s">
        <v>703</v>
      </c>
      <c r="C42" t="s">
        <v>300</v>
      </c>
      <c r="D42" t="str">
        <f>_xlfn.XLOOKUP(C43,'Cleaned Data'!C93:C247,'Cleaned Data'!D93:D247)</f>
        <v>Mick Hernandez</v>
      </c>
      <c r="E42" t="str">
        <f>_xlfn.XLOOKUP(A42,'Cleaned Data'!A93:A247,'Cleaned Data'!H93:H247)</f>
        <v>South</v>
      </c>
    </row>
    <row r="43" spans="1:5" x14ac:dyDescent="0.35">
      <c r="A43" t="s">
        <v>423</v>
      </c>
      <c r="B43" s="1" t="s">
        <v>703</v>
      </c>
      <c r="C43" t="s">
        <v>316</v>
      </c>
      <c r="D43" t="str">
        <f>_xlfn.XLOOKUP(C44,'Cleaned Data'!C95:C249,'Cleaned Data'!D95:D249)</f>
        <v>Bobby Elias</v>
      </c>
      <c r="E43" t="str">
        <f>_xlfn.XLOOKUP(A43,'Cleaned Data'!A95:A249,'Cleaned Data'!H95:H249)</f>
        <v>Central</v>
      </c>
    </row>
    <row r="44" spans="1:5" x14ac:dyDescent="0.35">
      <c r="A44" t="s">
        <v>539</v>
      </c>
      <c r="B44" s="1" t="s">
        <v>703</v>
      </c>
      <c r="C44" t="s">
        <v>432</v>
      </c>
      <c r="D44" t="str">
        <f>_xlfn.XLOOKUP(C45,'Cleaned Data'!C100:C254,'Cleaned Data'!D100:D254)</f>
        <v>Alan Dominguez</v>
      </c>
      <c r="E44" t="str">
        <f>_xlfn.XLOOKUP(A44,'Cleaned Data'!A100:A254,'Cleaned Data'!H100:H254)</f>
        <v>Central</v>
      </c>
    </row>
    <row r="45" spans="1:5" x14ac:dyDescent="0.35">
      <c r="A45" t="s">
        <v>183</v>
      </c>
      <c r="B45" s="1" t="s">
        <v>704</v>
      </c>
      <c r="C45" t="s">
        <v>101</v>
      </c>
      <c r="D45" t="str">
        <f>_xlfn.XLOOKUP(C46,'Cleaned Data'!C101:C255,'Cleaned Data'!D101:D255)</f>
        <v>Edward Hooks</v>
      </c>
      <c r="E45" t="str">
        <f>_xlfn.XLOOKUP(A45,'Cleaned Data'!A101:A255,'Cleaned Data'!H101:H255)</f>
        <v>West</v>
      </c>
    </row>
    <row r="46" spans="1:5" x14ac:dyDescent="0.35">
      <c r="A46" t="s">
        <v>525</v>
      </c>
      <c r="B46" s="1" t="s">
        <v>704</v>
      </c>
      <c r="C46" t="s">
        <v>385</v>
      </c>
      <c r="D46" t="str">
        <f>_xlfn.XLOOKUP(C47,'Cleaned Data'!C105:C259,'Cleaned Data'!D105:D259)</f>
        <v>Matt Connell</v>
      </c>
      <c r="E46" t="str">
        <f>_xlfn.XLOOKUP(A46,'Cleaned Data'!A105:A259,'Cleaned Data'!H105:H259)</f>
        <v>Central</v>
      </c>
    </row>
    <row r="47" spans="1:5" x14ac:dyDescent="0.35">
      <c r="A47" t="s">
        <v>196</v>
      </c>
      <c r="B47" s="1" t="s">
        <v>705</v>
      </c>
      <c r="C47" t="s">
        <v>197</v>
      </c>
      <c r="D47" t="str">
        <f>_xlfn.XLOOKUP(C48,'Cleaned Data'!C107:C261,'Cleaned Data'!D107:D261)</f>
        <v>Chris Selesnick</v>
      </c>
      <c r="E47" t="str">
        <f>_xlfn.XLOOKUP(A47,'Cleaned Data'!A107:A261,'Cleaned Data'!H107:H261)</f>
        <v>Central</v>
      </c>
    </row>
    <row r="48" spans="1:5" x14ac:dyDescent="0.35">
      <c r="A48" t="s">
        <v>505</v>
      </c>
      <c r="B48" s="1" t="s">
        <v>705</v>
      </c>
      <c r="C48" t="s">
        <v>238</v>
      </c>
      <c r="D48" t="str">
        <f>_xlfn.XLOOKUP(C49,'Cleaned Data'!C108:C262,'Cleaned Data'!D108:D262)</f>
        <v>Harold Pawlan</v>
      </c>
      <c r="E48" t="str">
        <f>_xlfn.XLOOKUP(A48,'Cleaned Data'!A108:A262,'Cleaned Data'!H108:H262)</f>
        <v>West</v>
      </c>
    </row>
    <row r="49" spans="1:5" x14ac:dyDescent="0.35">
      <c r="A49" t="s">
        <v>537</v>
      </c>
      <c r="B49" s="1" t="s">
        <v>705</v>
      </c>
      <c r="C49" t="s">
        <v>46</v>
      </c>
      <c r="D49" t="str">
        <f>_xlfn.XLOOKUP(C50,'Cleaned Data'!C112:C266,'Cleaned Data'!D112:D266)</f>
        <v>Theone Pippenger</v>
      </c>
      <c r="E49" t="str">
        <f>_xlfn.XLOOKUP(A49,'Cleaned Data'!A112:A266,'Cleaned Data'!H112:H266)</f>
        <v>West</v>
      </c>
    </row>
    <row r="50" spans="1:5" x14ac:dyDescent="0.35">
      <c r="A50" t="s">
        <v>412</v>
      </c>
      <c r="B50" s="1" t="s">
        <v>706</v>
      </c>
      <c r="C50" t="s">
        <v>206</v>
      </c>
      <c r="D50" t="str">
        <f>_xlfn.XLOOKUP(C51,'Cleaned Data'!C114:C268,'Cleaned Data'!D114:D268)</f>
        <v>Keith Dawkins</v>
      </c>
      <c r="E50" t="str">
        <f>_xlfn.XLOOKUP(A50,'Cleaned Data'!A114:A268,'Cleaned Data'!H114:H268)</f>
        <v>South</v>
      </c>
    </row>
    <row r="51" spans="1:5" x14ac:dyDescent="0.35">
      <c r="A51" t="s">
        <v>536</v>
      </c>
      <c r="B51" s="1" t="s">
        <v>706</v>
      </c>
      <c r="C51" t="s">
        <v>344</v>
      </c>
      <c r="D51" t="str">
        <f>_xlfn.XLOOKUP(C52,'Cleaned Data'!C115:C269,'Cleaned Data'!D115:D269)</f>
        <v>Carol Adams</v>
      </c>
      <c r="E51" t="str">
        <f>_xlfn.XLOOKUP(A51,'Cleaned Data'!A115:A269,'Cleaned Data'!H115:H269)</f>
        <v>West</v>
      </c>
    </row>
    <row r="52" spans="1:5" x14ac:dyDescent="0.35">
      <c r="A52" t="s">
        <v>437</v>
      </c>
      <c r="B52" s="1" t="s">
        <v>707</v>
      </c>
      <c r="C52" t="s">
        <v>438</v>
      </c>
      <c r="D52" t="str">
        <f>_xlfn.XLOOKUP(C53,'Cleaned Data'!C118:C272,'Cleaned Data'!D118:D272)</f>
        <v>Claire Gute</v>
      </c>
      <c r="E52" t="str">
        <f>_xlfn.XLOOKUP(A52,'Cleaned Data'!A118:A272,'Cleaned Data'!H118:H272)</f>
        <v>South</v>
      </c>
    </row>
    <row r="53" spans="1:5" x14ac:dyDescent="0.35">
      <c r="A53" t="s">
        <v>498</v>
      </c>
      <c r="B53" s="1" t="s">
        <v>707</v>
      </c>
      <c r="C53" t="s">
        <v>13</v>
      </c>
      <c r="D53" t="str">
        <f>_xlfn.XLOOKUP(C54,'Cleaned Data'!C120:C274,'Cleaned Data'!D120:D274)</f>
        <v>Caroline Jumper</v>
      </c>
      <c r="E53" t="str">
        <f>_xlfn.XLOOKUP(A53,'Cleaned Data'!A120:A274,'Cleaned Data'!H120:H274)</f>
        <v>Central</v>
      </c>
    </row>
    <row r="54" spans="1:5" x14ac:dyDescent="0.35">
      <c r="A54" t="s">
        <v>524</v>
      </c>
      <c r="B54" s="1" t="s">
        <v>707</v>
      </c>
      <c r="C54" t="s">
        <v>159</v>
      </c>
      <c r="D54" t="str">
        <f>_xlfn.XLOOKUP(C55,'Cleaned Data'!C121:C275,'Cleaned Data'!D121:D275)</f>
        <v>Bradley Drucker</v>
      </c>
      <c r="E54" t="str">
        <f>_xlfn.XLOOKUP(A54,'Cleaned Data'!A121:A275,'Cleaned Data'!H121:H275)</f>
        <v>West</v>
      </c>
    </row>
    <row r="55" spans="1:5" x14ac:dyDescent="0.35">
      <c r="A55" t="s">
        <v>528</v>
      </c>
      <c r="B55" s="1" t="s">
        <v>707</v>
      </c>
      <c r="C55" t="s">
        <v>200</v>
      </c>
      <c r="D55" t="str">
        <f>_xlfn.XLOOKUP(C56,'Cleaned Data'!C122:C276,'Cleaned Data'!D122:D276)</f>
        <v>John Huston</v>
      </c>
      <c r="E55" t="str">
        <f>_xlfn.XLOOKUP(A55,'Cleaned Data'!A122:A276,'Cleaned Data'!H122:H276)</f>
        <v>South</v>
      </c>
    </row>
    <row r="56" spans="1:5" x14ac:dyDescent="0.35">
      <c r="A56" t="s">
        <v>398</v>
      </c>
      <c r="B56" s="1" t="s">
        <v>708</v>
      </c>
      <c r="C56" t="s">
        <v>399</v>
      </c>
      <c r="D56" t="str">
        <f>_xlfn.XLOOKUP(C57,'Cleaned Data'!C124:C278,'Cleaned Data'!D124:D278)</f>
        <v>Toby Gnade</v>
      </c>
      <c r="E56" t="str">
        <f>_xlfn.XLOOKUP(A56,'Cleaned Data'!A124:A278,'Cleaned Data'!H124:H278)</f>
        <v>East</v>
      </c>
    </row>
    <row r="57" spans="1:5" x14ac:dyDescent="0.35">
      <c r="A57" t="s">
        <v>518</v>
      </c>
      <c r="B57" s="1" t="s">
        <v>708</v>
      </c>
      <c r="C57" t="s">
        <v>407</v>
      </c>
      <c r="D57" t="str">
        <f>_xlfn.XLOOKUP(C58,'Cleaned Data'!C127:C281,'Cleaned Data'!D127:D281)</f>
        <v>Beth Thompson</v>
      </c>
      <c r="E57" t="str">
        <f>_xlfn.XLOOKUP(A57,'Cleaned Data'!A127:A281,'Cleaned Data'!H127:H281)</f>
        <v>East</v>
      </c>
    </row>
    <row r="58" spans="1:5" x14ac:dyDescent="0.35">
      <c r="A58" t="s">
        <v>336</v>
      </c>
      <c r="B58" s="1" t="s">
        <v>709</v>
      </c>
      <c r="C58" t="s">
        <v>337</v>
      </c>
      <c r="D58" t="str">
        <f>_xlfn.XLOOKUP(C59,'Cleaned Data'!C128:C282,'Cleaned Data'!D128:D282)</f>
        <v>Giulietta Baptist</v>
      </c>
      <c r="E58" t="str">
        <f>_xlfn.XLOOKUP(A58,'Cleaned Data'!A128:A282,'Cleaned Data'!H128:H282)</f>
        <v>West</v>
      </c>
    </row>
    <row r="59" spans="1:5" x14ac:dyDescent="0.35">
      <c r="A59" t="s">
        <v>482</v>
      </c>
      <c r="B59" s="1" t="s">
        <v>709</v>
      </c>
      <c r="C59" t="s">
        <v>446</v>
      </c>
      <c r="D59" t="str">
        <f>_xlfn.XLOOKUP(C60,'Cleaned Data'!C130:C284,'Cleaned Data'!D130:D284)</f>
        <v>Craig Leslie</v>
      </c>
      <c r="E59" t="str">
        <f>_xlfn.XLOOKUP(A59,'Cleaned Data'!A130:A284,'Cleaned Data'!H130:H284)</f>
        <v>Central</v>
      </c>
    </row>
    <row r="60" spans="1:5" x14ac:dyDescent="0.35">
      <c r="A60" t="s">
        <v>512</v>
      </c>
      <c r="B60" s="1" t="s">
        <v>709</v>
      </c>
      <c r="C60" t="s">
        <v>422</v>
      </c>
      <c r="D60" t="str">
        <f>_xlfn.XLOOKUP(C61,'Cleaned Data'!C131:C285,'Cleaned Data'!D131:D285)</f>
        <v>Clytie Kelty</v>
      </c>
      <c r="E60" t="str">
        <f>_xlfn.XLOOKUP(A60,'Cleaned Data'!A131:A285,'Cleaned Data'!H131:H285)</f>
        <v>East</v>
      </c>
    </row>
    <row r="61" spans="1:5" x14ac:dyDescent="0.35">
      <c r="A61" t="s">
        <v>462</v>
      </c>
      <c r="B61" s="1" t="s">
        <v>710</v>
      </c>
      <c r="C61" t="s">
        <v>207</v>
      </c>
      <c r="D61" t="str">
        <f>_xlfn.XLOOKUP(C62,'Cleaned Data'!C132:C286,'Cleaned Data'!D132:D286)</f>
        <v>Vivek Gonzalez</v>
      </c>
      <c r="E61" t="str">
        <f>_xlfn.XLOOKUP(A61,'Cleaned Data'!A132:A286,'Cleaned Data'!H132:H286)</f>
        <v>Central</v>
      </c>
    </row>
    <row r="62" spans="1:5" x14ac:dyDescent="0.35">
      <c r="A62" t="s">
        <v>490</v>
      </c>
      <c r="B62" s="1" t="s">
        <v>710</v>
      </c>
      <c r="C62" t="s">
        <v>289</v>
      </c>
      <c r="D62" t="str">
        <f>_xlfn.XLOOKUP(C63,'Cleaned Data'!C133:C287,'Cleaned Data'!D133:D287)</f>
        <v>Rob Dowd</v>
      </c>
      <c r="E62" t="str">
        <f>_xlfn.XLOOKUP(A62,'Cleaned Data'!A133:A287,'Cleaned Data'!H133:H287)</f>
        <v>West</v>
      </c>
    </row>
    <row r="63" spans="1:5" x14ac:dyDescent="0.35">
      <c r="A63" t="s">
        <v>516</v>
      </c>
      <c r="B63" s="1" t="s">
        <v>710</v>
      </c>
      <c r="C63" t="s">
        <v>288</v>
      </c>
      <c r="D63" t="str">
        <f>_xlfn.XLOOKUP(C64,'Cleaned Data'!C136:C290,'Cleaned Data'!D136:D290)</f>
        <v>Bryan Davis</v>
      </c>
      <c r="E63" t="str">
        <f>_xlfn.XLOOKUP(A63,'Cleaned Data'!A136:A290,'Cleaned Data'!H136:H290)</f>
        <v>East</v>
      </c>
    </row>
    <row r="64" spans="1:5" x14ac:dyDescent="0.35">
      <c r="A64" t="s">
        <v>531</v>
      </c>
      <c r="B64" s="1" t="s">
        <v>710</v>
      </c>
      <c r="C64" t="s">
        <v>319</v>
      </c>
      <c r="D64" t="str">
        <f>_xlfn.XLOOKUP(C65,'Cleaned Data'!C137:C291,'Cleaned Data'!D137:D291)</f>
        <v>Tamara Manning</v>
      </c>
      <c r="E64" t="str">
        <f>_xlfn.XLOOKUP(A64,'Cleaned Data'!A137:A291,'Cleaned Data'!H137:H291)</f>
        <v>East</v>
      </c>
    </row>
    <row r="65" spans="1:5" x14ac:dyDescent="0.35">
      <c r="A65" t="s">
        <v>541</v>
      </c>
      <c r="B65" s="1" t="s">
        <v>710</v>
      </c>
      <c r="C65" t="s">
        <v>414</v>
      </c>
      <c r="D65" t="str">
        <f>_xlfn.XLOOKUP(C66,'Cleaned Data'!C138:C292,'Cleaned Data'!D138:D292)</f>
        <v>Benjamin Venier</v>
      </c>
      <c r="E65" t="str">
        <f>_xlfn.XLOOKUP(A65,'Cleaned Data'!A138:A292,'Cleaned Data'!H138:H292)</f>
        <v>Central</v>
      </c>
    </row>
    <row r="66" spans="1:5" x14ac:dyDescent="0.35">
      <c r="A66" t="s">
        <v>239</v>
      </c>
      <c r="B66" s="1" t="s">
        <v>711</v>
      </c>
      <c r="C66" t="s">
        <v>240</v>
      </c>
      <c r="D66" t="str">
        <f>_xlfn.XLOOKUP(C67,'Cleaned Data'!C142:C296,'Cleaned Data'!D142:D296)</f>
        <v>Michael Moore</v>
      </c>
      <c r="E66" t="str">
        <f>_xlfn.XLOOKUP(A66,'Cleaned Data'!A142:A296,'Cleaned Data'!H142:H296)</f>
        <v>Central</v>
      </c>
    </row>
    <row r="67" spans="1:5" x14ac:dyDescent="0.35">
      <c r="A67" t="s">
        <v>441</v>
      </c>
      <c r="B67" s="1" t="s">
        <v>711</v>
      </c>
      <c r="C67" t="s">
        <v>342</v>
      </c>
      <c r="D67" t="str">
        <f>_xlfn.XLOOKUP(C68,'Cleaned Data'!C148:C302,'Cleaned Data'!D148:D302)</f>
        <v>Eugene Hildebrand</v>
      </c>
      <c r="E67" t="str">
        <f>_xlfn.XLOOKUP(A67,'Cleaned Data'!A148:A302,'Cleaned Data'!H148:H302)</f>
        <v>West</v>
      </c>
    </row>
    <row r="68" spans="1:5" x14ac:dyDescent="0.35">
      <c r="A68" t="s">
        <v>472</v>
      </c>
      <c r="B68" s="1" t="s">
        <v>711</v>
      </c>
      <c r="C68" t="s">
        <v>215</v>
      </c>
      <c r="D68" t="str">
        <f>_xlfn.XLOOKUP(C69,'Cleaned Data'!C149:C303,'Cleaned Data'!D149:D303)</f>
        <v>Emily Burns</v>
      </c>
      <c r="E68" t="str">
        <f>_xlfn.XLOOKUP(A68,'Cleaned Data'!A149:A303,'Cleaned Data'!H149:H303)</f>
        <v>West</v>
      </c>
    </row>
    <row r="69" spans="1:5" x14ac:dyDescent="0.35">
      <c r="A69" t="s">
        <v>495</v>
      </c>
      <c r="B69" s="1" t="s">
        <v>711</v>
      </c>
      <c r="C69" t="s">
        <v>56</v>
      </c>
      <c r="D69" t="str">
        <f>_xlfn.XLOOKUP(C70,'Cleaned Data'!C152:C306,'Cleaned Data'!D152:D306)</f>
        <v>Liz Preis</v>
      </c>
      <c r="E69" t="str">
        <f>_xlfn.XLOOKUP(A69,'Cleaned Data'!A152:A306,'Cleaned Data'!H152:H306)</f>
        <v>South</v>
      </c>
    </row>
    <row r="70" spans="1:5" x14ac:dyDescent="0.35">
      <c r="A70" t="s">
        <v>527</v>
      </c>
      <c r="B70" s="1" t="s">
        <v>711</v>
      </c>
      <c r="C70" t="s">
        <v>320</v>
      </c>
      <c r="D70" t="str">
        <f>_xlfn.XLOOKUP(C71,'Cleaned Data'!C153:C307,'Cleaned Data'!D153:D307)</f>
        <v>Sam Zeldin</v>
      </c>
      <c r="E70" t="str">
        <f>_xlfn.XLOOKUP(A70,'Cleaned Data'!A153:A307,'Cleaned Data'!H153:H307)</f>
        <v>Central</v>
      </c>
    </row>
    <row r="71" spans="1:5" x14ac:dyDescent="0.35">
      <c r="A71" t="s">
        <v>530</v>
      </c>
      <c r="B71" s="1" t="s">
        <v>711</v>
      </c>
      <c r="C71" t="s">
        <v>328</v>
      </c>
      <c r="D71">
        <f>_xlfn.XLOOKUP(C72,'Cleaned Data'!C157:C311,'Cleaned Data'!D157:D311)</f>
        <v>0</v>
      </c>
      <c r="E71" t="str">
        <f>_xlfn.XLOOKUP(A71,'Cleaned Data'!A157:A311,'Cleaned Data'!H157:H311)</f>
        <v>West</v>
      </c>
    </row>
  </sheetData>
  <mergeCells count="1">
    <mergeCell ref="A1:E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38D9F-5F37-4E40-A6A6-135334022ECC}">
  <dimension ref="A1:D154"/>
  <sheetViews>
    <sheetView workbookViewId="0">
      <selection activeCell="D16" sqref="D16"/>
    </sheetView>
  </sheetViews>
  <sheetFormatPr defaultRowHeight="14.5" x14ac:dyDescent="0.35"/>
  <cols>
    <col min="1" max="1" width="16.08984375" bestFit="1" customWidth="1"/>
    <col min="2" max="2" width="13" customWidth="1"/>
    <col min="3" max="3" width="11.7265625" bestFit="1" customWidth="1"/>
    <col min="4" max="4" width="107.08984375" bestFit="1" customWidth="1"/>
  </cols>
  <sheetData>
    <row r="1" spans="1:4" ht="16" x14ac:dyDescent="0.4">
      <c r="A1" s="13" t="s">
        <v>713</v>
      </c>
      <c r="B1" s="14"/>
      <c r="C1" s="14"/>
      <c r="D1" s="14"/>
    </row>
    <row r="2" spans="1:4" x14ac:dyDescent="0.35">
      <c r="A2" s="6" t="s">
        <v>685</v>
      </c>
      <c r="B2" s="6" t="s">
        <v>7</v>
      </c>
      <c r="C2" s="6" t="s">
        <v>8</v>
      </c>
      <c r="D2" s="6" t="s">
        <v>686</v>
      </c>
    </row>
    <row r="3" spans="1:4" x14ac:dyDescent="0.35">
      <c r="A3" t="s">
        <v>258</v>
      </c>
      <c r="B3" t="s">
        <v>15</v>
      </c>
      <c r="C3" t="s">
        <v>31</v>
      </c>
      <c r="D3" t="s">
        <v>259</v>
      </c>
    </row>
    <row r="4" spans="1:4" x14ac:dyDescent="0.35">
      <c r="A4" t="s">
        <v>469</v>
      </c>
      <c r="B4" t="s">
        <v>15</v>
      </c>
      <c r="C4" t="s">
        <v>31</v>
      </c>
      <c r="D4" t="s">
        <v>470</v>
      </c>
    </row>
    <row r="5" spans="1:4" x14ac:dyDescent="0.35">
      <c r="A5" t="s">
        <v>282</v>
      </c>
      <c r="B5" t="s">
        <v>684</v>
      </c>
      <c r="C5" t="s">
        <v>39</v>
      </c>
      <c r="D5" t="s">
        <v>283</v>
      </c>
    </row>
    <row r="6" spans="1:4" x14ac:dyDescent="0.35">
      <c r="A6" t="s">
        <v>170</v>
      </c>
      <c r="B6" t="s">
        <v>684</v>
      </c>
      <c r="C6" t="s">
        <v>27</v>
      </c>
      <c r="D6" t="s">
        <v>171</v>
      </c>
    </row>
    <row r="7" spans="1:4" x14ac:dyDescent="0.35">
      <c r="A7" t="s">
        <v>442</v>
      </c>
      <c r="B7" t="s">
        <v>15</v>
      </c>
      <c r="C7" t="s">
        <v>31</v>
      </c>
      <c r="D7" t="s">
        <v>443</v>
      </c>
    </row>
    <row r="8" spans="1:4" x14ac:dyDescent="0.35">
      <c r="A8" t="s">
        <v>250</v>
      </c>
      <c r="B8" t="s">
        <v>15</v>
      </c>
      <c r="C8" t="s">
        <v>17</v>
      </c>
      <c r="D8" t="s">
        <v>251</v>
      </c>
    </row>
    <row r="9" spans="1:4" x14ac:dyDescent="0.35">
      <c r="A9" t="s">
        <v>268</v>
      </c>
      <c r="B9" t="s">
        <v>684</v>
      </c>
      <c r="C9" t="s">
        <v>33</v>
      </c>
      <c r="D9" t="s">
        <v>269</v>
      </c>
    </row>
    <row r="10" spans="1:4" x14ac:dyDescent="0.35">
      <c r="A10" t="s">
        <v>243</v>
      </c>
      <c r="B10" t="s">
        <v>684</v>
      </c>
      <c r="C10" t="s">
        <v>39</v>
      </c>
      <c r="D10" t="s">
        <v>244</v>
      </c>
    </row>
    <row r="11" spans="1:4" x14ac:dyDescent="0.35">
      <c r="A11" t="s">
        <v>122</v>
      </c>
      <c r="B11" t="s">
        <v>684</v>
      </c>
      <c r="C11" t="s">
        <v>39</v>
      </c>
      <c r="D11" t="s">
        <v>123</v>
      </c>
    </row>
    <row r="12" spans="1:4" x14ac:dyDescent="0.35">
      <c r="A12" t="s">
        <v>204</v>
      </c>
      <c r="B12" t="s">
        <v>684</v>
      </c>
      <c r="C12" t="s">
        <v>41</v>
      </c>
      <c r="D12" t="s">
        <v>205</v>
      </c>
    </row>
    <row r="13" spans="1:4" x14ac:dyDescent="0.35">
      <c r="A13" t="s">
        <v>325</v>
      </c>
      <c r="B13" t="s">
        <v>35</v>
      </c>
      <c r="C13" t="s">
        <v>115</v>
      </c>
      <c r="D13" t="s">
        <v>326</v>
      </c>
    </row>
    <row r="14" spans="1:4" x14ac:dyDescent="0.35">
      <c r="A14" t="s">
        <v>311</v>
      </c>
      <c r="B14" t="s">
        <v>684</v>
      </c>
      <c r="C14" t="s">
        <v>39</v>
      </c>
      <c r="D14" t="s">
        <v>312</v>
      </c>
    </row>
    <row r="15" spans="1:4" x14ac:dyDescent="0.35">
      <c r="A15" t="s">
        <v>60</v>
      </c>
      <c r="B15" t="s">
        <v>684</v>
      </c>
      <c r="C15" t="s">
        <v>39</v>
      </c>
      <c r="D15" t="s">
        <v>61</v>
      </c>
    </row>
    <row r="16" spans="1:4" x14ac:dyDescent="0.35">
      <c r="A16" t="s">
        <v>348</v>
      </c>
      <c r="B16" t="s">
        <v>684</v>
      </c>
      <c r="C16" t="s">
        <v>33</v>
      </c>
      <c r="D16" t="s">
        <v>349</v>
      </c>
    </row>
    <row r="17" spans="1:4" x14ac:dyDescent="0.35">
      <c r="A17" t="s">
        <v>522</v>
      </c>
      <c r="B17" t="s">
        <v>684</v>
      </c>
      <c r="C17" t="s">
        <v>41</v>
      </c>
      <c r="D17" t="s">
        <v>523</v>
      </c>
    </row>
    <row r="18" spans="1:4" x14ac:dyDescent="0.35">
      <c r="A18" t="s">
        <v>334</v>
      </c>
      <c r="B18" t="s">
        <v>15</v>
      </c>
      <c r="C18" t="s">
        <v>25</v>
      </c>
      <c r="D18" t="s">
        <v>335</v>
      </c>
    </row>
    <row r="19" spans="1:4" x14ac:dyDescent="0.35">
      <c r="A19" t="s">
        <v>439</v>
      </c>
      <c r="B19" t="s">
        <v>684</v>
      </c>
      <c r="C19" t="s">
        <v>27</v>
      </c>
      <c r="D19" t="s">
        <v>440</v>
      </c>
    </row>
    <row r="20" spans="1:4" x14ac:dyDescent="0.35">
      <c r="A20" t="s">
        <v>419</v>
      </c>
      <c r="B20" t="s">
        <v>35</v>
      </c>
      <c r="C20" t="s">
        <v>58</v>
      </c>
      <c r="D20" t="s">
        <v>420</v>
      </c>
    </row>
    <row r="21" spans="1:4" x14ac:dyDescent="0.35">
      <c r="A21" t="s">
        <v>307</v>
      </c>
      <c r="B21" t="s">
        <v>684</v>
      </c>
      <c r="C21" t="s">
        <v>43</v>
      </c>
      <c r="D21" t="s">
        <v>308</v>
      </c>
    </row>
    <row r="22" spans="1:4" x14ac:dyDescent="0.35">
      <c r="A22" t="s">
        <v>161</v>
      </c>
      <c r="B22" t="s">
        <v>684</v>
      </c>
      <c r="C22" t="s">
        <v>39</v>
      </c>
      <c r="D22" t="s">
        <v>162</v>
      </c>
    </row>
    <row r="23" spans="1:4" x14ac:dyDescent="0.35">
      <c r="A23" t="s">
        <v>405</v>
      </c>
      <c r="B23" t="s">
        <v>684</v>
      </c>
      <c r="C23" t="s">
        <v>33</v>
      </c>
      <c r="D23" t="s">
        <v>406</v>
      </c>
    </row>
    <row r="24" spans="1:4" x14ac:dyDescent="0.35">
      <c r="A24" t="s">
        <v>210</v>
      </c>
      <c r="B24" t="s">
        <v>684</v>
      </c>
      <c r="C24" t="s">
        <v>39</v>
      </c>
      <c r="D24" t="s">
        <v>211</v>
      </c>
    </row>
    <row r="25" spans="1:4" x14ac:dyDescent="0.35">
      <c r="A25" t="s">
        <v>114</v>
      </c>
      <c r="B25" t="s">
        <v>35</v>
      </c>
      <c r="C25" t="s">
        <v>115</v>
      </c>
      <c r="D25" t="s">
        <v>116</v>
      </c>
    </row>
    <row r="26" spans="1:4" x14ac:dyDescent="0.35">
      <c r="A26" t="s">
        <v>276</v>
      </c>
      <c r="B26" t="s">
        <v>684</v>
      </c>
      <c r="C26" t="s">
        <v>39</v>
      </c>
      <c r="D26" t="s">
        <v>277</v>
      </c>
    </row>
    <row r="27" spans="1:4" x14ac:dyDescent="0.35">
      <c r="A27" t="s">
        <v>26</v>
      </c>
      <c r="B27" t="s">
        <v>684</v>
      </c>
      <c r="C27" t="s">
        <v>27</v>
      </c>
      <c r="D27" t="s">
        <v>28</v>
      </c>
    </row>
    <row r="28" spans="1:4" x14ac:dyDescent="0.35">
      <c r="A28" t="s">
        <v>451</v>
      </c>
      <c r="B28" t="s">
        <v>684</v>
      </c>
      <c r="C28" t="s">
        <v>27</v>
      </c>
      <c r="D28" t="s">
        <v>452</v>
      </c>
    </row>
    <row r="29" spans="1:4" x14ac:dyDescent="0.35">
      <c r="A29" t="s">
        <v>513</v>
      </c>
      <c r="B29" t="s">
        <v>684</v>
      </c>
      <c r="C29" t="s">
        <v>105</v>
      </c>
      <c r="D29" t="s">
        <v>514</v>
      </c>
    </row>
    <row r="30" spans="1:4" x14ac:dyDescent="0.35">
      <c r="A30" t="s">
        <v>212</v>
      </c>
      <c r="B30" t="s">
        <v>684</v>
      </c>
      <c r="C30" t="s">
        <v>73</v>
      </c>
      <c r="D30" t="s">
        <v>102</v>
      </c>
    </row>
    <row r="31" spans="1:4" x14ac:dyDescent="0.35">
      <c r="A31" t="s">
        <v>410</v>
      </c>
      <c r="B31" t="s">
        <v>15</v>
      </c>
      <c r="C31" t="s">
        <v>25</v>
      </c>
      <c r="D31" t="s">
        <v>411</v>
      </c>
    </row>
    <row r="32" spans="1:4" x14ac:dyDescent="0.35">
      <c r="A32" t="s">
        <v>223</v>
      </c>
      <c r="B32" t="s">
        <v>684</v>
      </c>
      <c r="C32" t="s">
        <v>39</v>
      </c>
      <c r="D32" t="s">
        <v>224</v>
      </c>
    </row>
    <row r="33" spans="1:4" x14ac:dyDescent="0.35">
      <c r="A33" t="s">
        <v>103</v>
      </c>
      <c r="B33" t="s">
        <v>684</v>
      </c>
      <c r="C33" t="s">
        <v>43</v>
      </c>
      <c r="D33" t="s">
        <v>104</v>
      </c>
    </row>
    <row r="34" spans="1:4" x14ac:dyDescent="0.35">
      <c r="A34" t="s">
        <v>373</v>
      </c>
      <c r="B34" t="s">
        <v>15</v>
      </c>
      <c r="C34" t="s">
        <v>31</v>
      </c>
      <c r="D34" t="s">
        <v>374</v>
      </c>
    </row>
    <row r="35" spans="1:4" x14ac:dyDescent="0.35">
      <c r="A35" t="s">
        <v>376</v>
      </c>
      <c r="B35" t="s">
        <v>684</v>
      </c>
      <c r="C35" t="s">
        <v>63</v>
      </c>
      <c r="D35" t="s">
        <v>113</v>
      </c>
    </row>
    <row r="36" spans="1:4" x14ac:dyDescent="0.35">
      <c r="A36" t="s">
        <v>262</v>
      </c>
      <c r="B36" t="s">
        <v>684</v>
      </c>
      <c r="C36" t="s">
        <v>39</v>
      </c>
      <c r="D36" t="s">
        <v>263</v>
      </c>
    </row>
    <row r="37" spans="1:4" x14ac:dyDescent="0.35">
      <c r="A37" t="s">
        <v>417</v>
      </c>
      <c r="B37" t="s">
        <v>684</v>
      </c>
      <c r="C37" t="s">
        <v>43</v>
      </c>
      <c r="D37" t="s">
        <v>418</v>
      </c>
    </row>
    <row r="38" spans="1:4" x14ac:dyDescent="0.35">
      <c r="A38" t="s">
        <v>499</v>
      </c>
      <c r="B38" t="s">
        <v>684</v>
      </c>
      <c r="C38" t="s">
        <v>33</v>
      </c>
      <c r="D38" t="s">
        <v>500</v>
      </c>
    </row>
    <row r="39" spans="1:4" x14ac:dyDescent="0.35">
      <c r="A39" t="s">
        <v>198</v>
      </c>
      <c r="B39" t="s">
        <v>684</v>
      </c>
      <c r="C39" t="s">
        <v>105</v>
      </c>
      <c r="D39" t="s">
        <v>199</v>
      </c>
    </row>
    <row r="40" spans="1:4" x14ac:dyDescent="0.35">
      <c r="A40" t="s">
        <v>454</v>
      </c>
      <c r="B40" t="s">
        <v>15</v>
      </c>
      <c r="C40" t="s">
        <v>16</v>
      </c>
      <c r="D40" t="s">
        <v>455</v>
      </c>
    </row>
    <row r="41" spans="1:4" x14ac:dyDescent="0.35">
      <c r="A41" t="s">
        <v>96</v>
      </c>
      <c r="B41" t="s">
        <v>684</v>
      </c>
      <c r="C41" t="s">
        <v>63</v>
      </c>
      <c r="D41" t="s">
        <v>97</v>
      </c>
    </row>
    <row r="42" spans="1:4" x14ac:dyDescent="0.35">
      <c r="A42" t="s">
        <v>314</v>
      </c>
      <c r="B42" t="s">
        <v>35</v>
      </c>
      <c r="C42" t="s">
        <v>36</v>
      </c>
      <c r="D42" t="s">
        <v>315</v>
      </c>
    </row>
    <row r="43" spans="1:4" x14ac:dyDescent="0.35">
      <c r="A43" t="s">
        <v>57</v>
      </c>
      <c r="B43" t="s">
        <v>35</v>
      </c>
      <c r="C43" t="s">
        <v>58</v>
      </c>
      <c r="D43" t="s">
        <v>59</v>
      </c>
    </row>
    <row r="44" spans="1:4" x14ac:dyDescent="0.35">
      <c r="A44" t="s">
        <v>392</v>
      </c>
      <c r="B44" t="s">
        <v>684</v>
      </c>
      <c r="C44" t="s">
        <v>27</v>
      </c>
      <c r="D44" t="s">
        <v>393</v>
      </c>
    </row>
    <row r="45" spans="1:4" x14ac:dyDescent="0.35">
      <c r="A45" t="s">
        <v>226</v>
      </c>
      <c r="B45" t="s">
        <v>684</v>
      </c>
      <c r="C45" t="s">
        <v>63</v>
      </c>
      <c r="D45" t="s">
        <v>227</v>
      </c>
    </row>
    <row r="46" spans="1:4" x14ac:dyDescent="0.35">
      <c r="A46" t="s">
        <v>272</v>
      </c>
      <c r="B46" t="s">
        <v>684</v>
      </c>
      <c r="C46" t="s">
        <v>43</v>
      </c>
      <c r="D46" t="s">
        <v>273</v>
      </c>
    </row>
    <row r="47" spans="1:4" x14ac:dyDescent="0.35">
      <c r="A47" t="s">
        <v>174</v>
      </c>
      <c r="B47" t="s">
        <v>35</v>
      </c>
      <c r="C47" t="s">
        <v>36</v>
      </c>
      <c r="D47" t="s">
        <v>175</v>
      </c>
    </row>
    <row r="48" spans="1:4" x14ac:dyDescent="0.35">
      <c r="A48" t="s">
        <v>430</v>
      </c>
      <c r="B48" t="s">
        <v>684</v>
      </c>
      <c r="C48" t="s">
        <v>39</v>
      </c>
      <c r="D48" t="s">
        <v>431</v>
      </c>
    </row>
    <row r="49" spans="1:4" x14ac:dyDescent="0.35">
      <c r="A49" t="s">
        <v>297</v>
      </c>
      <c r="B49" t="s">
        <v>684</v>
      </c>
      <c r="C49" t="s">
        <v>39</v>
      </c>
      <c r="D49" t="s">
        <v>298</v>
      </c>
    </row>
    <row r="50" spans="1:4" x14ac:dyDescent="0.35">
      <c r="A50" t="s">
        <v>480</v>
      </c>
      <c r="B50" t="s">
        <v>684</v>
      </c>
      <c r="C50" t="s">
        <v>43</v>
      </c>
      <c r="D50" t="s">
        <v>481</v>
      </c>
    </row>
    <row r="51" spans="1:4" x14ac:dyDescent="0.35">
      <c r="A51" t="s">
        <v>109</v>
      </c>
      <c r="B51" t="s">
        <v>684</v>
      </c>
      <c r="C51" t="s">
        <v>27</v>
      </c>
      <c r="D51" t="s">
        <v>110</v>
      </c>
    </row>
    <row r="52" spans="1:4" x14ac:dyDescent="0.35">
      <c r="A52" t="s">
        <v>134</v>
      </c>
      <c r="B52" t="s">
        <v>684</v>
      </c>
      <c r="C52" t="s">
        <v>73</v>
      </c>
      <c r="D52" t="s">
        <v>135</v>
      </c>
    </row>
    <row r="53" spans="1:4" x14ac:dyDescent="0.35">
      <c r="A53" t="s">
        <v>353</v>
      </c>
      <c r="B53" t="s">
        <v>35</v>
      </c>
      <c r="C53" t="s">
        <v>36</v>
      </c>
      <c r="D53" t="s">
        <v>354</v>
      </c>
    </row>
    <row r="54" spans="1:4" x14ac:dyDescent="0.35">
      <c r="A54" t="s">
        <v>386</v>
      </c>
      <c r="B54" t="s">
        <v>684</v>
      </c>
      <c r="C54" t="s">
        <v>27</v>
      </c>
      <c r="D54" t="s">
        <v>260</v>
      </c>
    </row>
    <row r="55" spans="1:4" x14ac:dyDescent="0.35">
      <c r="A55" t="s">
        <v>172</v>
      </c>
      <c r="B55" t="s">
        <v>35</v>
      </c>
      <c r="C55" t="s">
        <v>58</v>
      </c>
      <c r="D55" t="s">
        <v>173</v>
      </c>
    </row>
    <row r="56" spans="1:4" x14ac:dyDescent="0.35">
      <c r="A56" t="s">
        <v>286</v>
      </c>
      <c r="B56" t="s">
        <v>684</v>
      </c>
      <c r="C56" t="s">
        <v>43</v>
      </c>
      <c r="D56" t="s">
        <v>287</v>
      </c>
    </row>
    <row r="57" spans="1:4" x14ac:dyDescent="0.35">
      <c r="A57" t="s">
        <v>130</v>
      </c>
      <c r="B57" t="s">
        <v>35</v>
      </c>
      <c r="C57" t="s">
        <v>58</v>
      </c>
      <c r="D57" t="s">
        <v>131</v>
      </c>
    </row>
    <row r="58" spans="1:4" x14ac:dyDescent="0.35">
      <c r="A58" t="s">
        <v>383</v>
      </c>
      <c r="B58" t="s">
        <v>15</v>
      </c>
      <c r="C58" t="s">
        <v>31</v>
      </c>
      <c r="D58" t="s">
        <v>384</v>
      </c>
    </row>
    <row r="59" spans="1:4" x14ac:dyDescent="0.35">
      <c r="A59" t="s">
        <v>435</v>
      </c>
      <c r="B59" t="s">
        <v>684</v>
      </c>
      <c r="C59" t="s">
        <v>41</v>
      </c>
      <c r="D59" t="s">
        <v>436</v>
      </c>
    </row>
    <row r="60" spans="1:4" x14ac:dyDescent="0.35">
      <c r="A60" t="s">
        <v>127</v>
      </c>
      <c r="B60" t="s">
        <v>684</v>
      </c>
      <c r="C60" t="s">
        <v>41</v>
      </c>
      <c r="D60" t="s">
        <v>128</v>
      </c>
    </row>
    <row r="61" spans="1:4" x14ac:dyDescent="0.35">
      <c r="A61" t="s">
        <v>78</v>
      </c>
      <c r="B61" t="s">
        <v>684</v>
      </c>
      <c r="C61" t="s">
        <v>43</v>
      </c>
      <c r="D61" t="s">
        <v>79</v>
      </c>
    </row>
    <row r="62" spans="1:4" x14ac:dyDescent="0.35">
      <c r="A62" t="s">
        <v>350</v>
      </c>
      <c r="B62" t="s">
        <v>684</v>
      </c>
      <c r="C62" t="s">
        <v>33</v>
      </c>
      <c r="D62" t="s">
        <v>351</v>
      </c>
    </row>
    <row r="63" spans="1:4" x14ac:dyDescent="0.35">
      <c r="A63" t="s">
        <v>295</v>
      </c>
      <c r="B63" t="s">
        <v>684</v>
      </c>
      <c r="C63" t="s">
        <v>39</v>
      </c>
      <c r="D63" t="s">
        <v>296</v>
      </c>
    </row>
    <row r="64" spans="1:4" x14ac:dyDescent="0.35">
      <c r="A64" t="s">
        <v>136</v>
      </c>
      <c r="B64" t="s">
        <v>35</v>
      </c>
      <c r="C64" t="s">
        <v>58</v>
      </c>
      <c r="D64" t="s">
        <v>137</v>
      </c>
    </row>
    <row r="65" spans="1:4" x14ac:dyDescent="0.35">
      <c r="A65" t="s">
        <v>463</v>
      </c>
      <c r="B65" t="s">
        <v>35</v>
      </c>
      <c r="C65" t="s">
        <v>58</v>
      </c>
      <c r="D65" t="s">
        <v>464</v>
      </c>
    </row>
    <row r="66" spans="1:4" x14ac:dyDescent="0.35">
      <c r="A66" t="s">
        <v>168</v>
      </c>
      <c r="B66" t="s">
        <v>684</v>
      </c>
      <c r="C66" t="s">
        <v>39</v>
      </c>
      <c r="D66" t="s">
        <v>169</v>
      </c>
    </row>
    <row r="67" spans="1:4" x14ac:dyDescent="0.35">
      <c r="A67" t="s">
        <v>30</v>
      </c>
      <c r="B67" t="s">
        <v>15</v>
      </c>
      <c r="C67" t="s">
        <v>31</v>
      </c>
      <c r="D67" t="s">
        <v>32</v>
      </c>
    </row>
    <row r="68" spans="1:4" x14ac:dyDescent="0.35">
      <c r="A68" t="s">
        <v>274</v>
      </c>
      <c r="B68" t="s">
        <v>15</v>
      </c>
      <c r="C68" t="s">
        <v>25</v>
      </c>
      <c r="D68" t="s">
        <v>275</v>
      </c>
    </row>
    <row r="69" spans="1:4" x14ac:dyDescent="0.35">
      <c r="A69" t="s">
        <v>148</v>
      </c>
      <c r="B69" t="s">
        <v>684</v>
      </c>
      <c r="C69" t="s">
        <v>39</v>
      </c>
      <c r="D69" t="s">
        <v>149</v>
      </c>
    </row>
    <row r="70" spans="1:4" x14ac:dyDescent="0.35">
      <c r="A70" t="s">
        <v>488</v>
      </c>
      <c r="B70" t="s">
        <v>15</v>
      </c>
      <c r="C70" t="s">
        <v>17</v>
      </c>
      <c r="D70" t="s">
        <v>489</v>
      </c>
    </row>
    <row r="71" spans="1:4" x14ac:dyDescent="0.35">
      <c r="A71" t="s">
        <v>508</v>
      </c>
      <c r="B71" t="s">
        <v>684</v>
      </c>
      <c r="C71" t="s">
        <v>43</v>
      </c>
      <c r="D71" t="s">
        <v>509</v>
      </c>
    </row>
    <row r="72" spans="1:4" x14ac:dyDescent="0.35">
      <c r="A72" t="s">
        <v>379</v>
      </c>
      <c r="B72" t="s">
        <v>684</v>
      </c>
      <c r="C72" t="s">
        <v>22</v>
      </c>
      <c r="D72" t="s">
        <v>380</v>
      </c>
    </row>
    <row r="73" spans="1:4" x14ac:dyDescent="0.35">
      <c r="A73" t="s">
        <v>368</v>
      </c>
      <c r="B73" t="s">
        <v>35</v>
      </c>
      <c r="C73" t="s">
        <v>36</v>
      </c>
      <c r="D73" t="s">
        <v>369</v>
      </c>
    </row>
    <row r="74" spans="1:4" x14ac:dyDescent="0.35">
      <c r="A74" t="s">
        <v>220</v>
      </c>
      <c r="B74" t="s">
        <v>15</v>
      </c>
      <c r="C74" t="s">
        <v>31</v>
      </c>
      <c r="D74" t="s">
        <v>221</v>
      </c>
    </row>
    <row r="75" spans="1:4" x14ac:dyDescent="0.35">
      <c r="A75" t="s">
        <v>292</v>
      </c>
      <c r="B75" t="s">
        <v>15</v>
      </c>
      <c r="C75" t="s">
        <v>17</v>
      </c>
      <c r="D75" t="s">
        <v>293</v>
      </c>
    </row>
    <row r="76" spans="1:4" x14ac:dyDescent="0.35">
      <c r="A76" t="s">
        <v>340</v>
      </c>
      <c r="B76" t="s">
        <v>684</v>
      </c>
      <c r="C76" t="s">
        <v>43</v>
      </c>
      <c r="D76" t="s">
        <v>341</v>
      </c>
    </row>
    <row r="77" spans="1:4" x14ac:dyDescent="0.35">
      <c r="A77" t="s">
        <v>157</v>
      </c>
      <c r="B77" t="s">
        <v>684</v>
      </c>
      <c r="C77" t="s">
        <v>43</v>
      </c>
      <c r="D77" t="s">
        <v>158</v>
      </c>
    </row>
    <row r="78" spans="1:4" x14ac:dyDescent="0.35">
      <c r="A78" t="s">
        <v>146</v>
      </c>
      <c r="B78" t="s">
        <v>684</v>
      </c>
      <c r="C78" t="s">
        <v>43</v>
      </c>
      <c r="D78" t="s">
        <v>147</v>
      </c>
    </row>
    <row r="79" spans="1:4" x14ac:dyDescent="0.35">
      <c r="A79" t="s">
        <v>365</v>
      </c>
      <c r="B79" t="s">
        <v>684</v>
      </c>
      <c r="C79" t="s">
        <v>41</v>
      </c>
      <c r="D79" t="s">
        <v>366</v>
      </c>
    </row>
    <row r="80" spans="1:4" x14ac:dyDescent="0.35">
      <c r="A80" t="s">
        <v>62</v>
      </c>
      <c r="B80" t="s">
        <v>684</v>
      </c>
      <c r="C80" t="s">
        <v>63</v>
      </c>
      <c r="D80" t="s">
        <v>64</v>
      </c>
    </row>
    <row r="81" spans="1:4" x14ac:dyDescent="0.35">
      <c r="A81" t="s">
        <v>165</v>
      </c>
      <c r="B81" t="s">
        <v>15</v>
      </c>
      <c r="C81" t="s">
        <v>17</v>
      </c>
      <c r="D81" t="s">
        <v>166</v>
      </c>
    </row>
    <row r="82" spans="1:4" x14ac:dyDescent="0.35">
      <c r="A82" t="s">
        <v>362</v>
      </c>
      <c r="B82" t="s">
        <v>35</v>
      </c>
      <c r="C82" t="s">
        <v>36</v>
      </c>
      <c r="D82" t="s">
        <v>363</v>
      </c>
    </row>
    <row r="83" spans="1:4" x14ac:dyDescent="0.35">
      <c r="A83" t="s">
        <v>375</v>
      </c>
      <c r="B83" t="s">
        <v>684</v>
      </c>
      <c r="C83" t="s">
        <v>33</v>
      </c>
      <c r="D83" t="s">
        <v>291</v>
      </c>
    </row>
    <row r="84" spans="1:4" x14ac:dyDescent="0.35">
      <c r="A84" t="s">
        <v>415</v>
      </c>
      <c r="B84" t="s">
        <v>35</v>
      </c>
      <c r="C84" t="s">
        <v>36</v>
      </c>
      <c r="D84" t="s">
        <v>416</v>
      </c>
    </row>
    <row r="85" spans="1:4" x14ac:dyDescent="0.35">
      <c r="A85" t="s">
        <v>305</v>
      </c>
      <c r="B85" t="s">
        <v>684</v>
      </c>
      <c r="C85" t="s">
        <v>33</v>
      </c>
      <c r="D85" t="s">
        <v>306</v>
      </c>
    </row>
    <row r="86" spans="1:4" x14ac:dyDescent="0.35">
      <c r="A86" t="s">
        <v>278</v>
      </c>
      <c r="B86" t="s">
        <v>684</v>
      </c>
      <c r="C86" t="s">
        <v>22</v>
      </c>
      <c r="D86" t="s">
        <v>279</v>
      </c>
    </row>
    <row r="87" spans="1:4" x14ac:dyDescent="0.35">
      <c r="A87" t="s">
        <v>194</v>
      </c>
      <c r="B87" t="s">
        <v>684</v>
      </c>
      <c r="C87" t="s">
        <v>27</v>
      </c>
      <c r="D87" t="s">
        <v>195</v>
      </c>
    </row>
    <row r="88" spans="1:4" x14ac:dyDescent="0.35">
      <c r="A88" t="s">
        <v>230</v>
      </c>
      <c r="B88" t="s">
        <v>35</v>
      </c>
      <c r="C88" t="s">
        <v>58</v>
      </c>
      <c r="D88" t="s">
        <v>231</v>
      </c>
    </row>
    <row r="89" spans="1:4" x14ac:dyDescent="0.35">
      <c r="A89" t="s">
        <v>154</v>
      </c>
      <c r="B89" t="s">
        <v>684</v>
      </c>
      <c r="C89" t="s">
        <v>39</v>
      </c>
      <c r="D89" t="s">
        <v>155</v>
      </c>
    </row>
    <row r="90" spans="1:4" x14ac:dyDescent="0.35">
      <c r="A90" t="s">
        <v>67</v>
      </c>
      <c r="B90" t="s">
        <v>684</v>
      </c>
      <c r="C90" t="s">
        <v>39</v>
      </c>
      <c r="D90" t="s">
        <v>68</v>
      </c>
    </row>
    <row r="91" spans="1:4" x14ac:dyDescent="0.35">
      <c r="A91" t="s">
        <v>232</v>
      </c>
      <c r="B91" t="s">
        <v>15</v>
      </c>
      <c r="C91" t="s">
        <v>16</v>
      </c>
      <c r="D91" t="s">
        <v>233</v>
      </c>
    </row>
    <row r="92" spans="1:4" x14ac:dyDescent="0.35">
      <c r="A92" t="s">
        <v>234</v>
      </c>
      <c r="B92" t="s">
        <v>684</v>
      </c>
      <c r="C92" t="s">
        <v>39</v>
      </c>
      <c r="D92" t="s">
        <v>235</v>
      </c>
    </row>
    <row r="93" spans="1:4" x14ac:dyDescent="0.35">
      <c r="A93" t="s">
        <v>301</v>
      </c>
      <c r="B93" t="s">
        <v>684</v>
      </c>
      <c r="C93" t="s">
        <v>27</v>
      </c>
      <c r="D93" t="s">
        <v>302</v>
      </c>
    </row>
    <row r="94" spans="1:4" x14ac:dyDescent="0.35">
      <c r="A94" t="s">
        <v>303</v>
      </c>
      <c r="B94" t="s">
        <v>684</v>
      </c>
      <c r="C94" t="s">
        <v>39</v>
      </c>
      <c r="D94" t="s">
        <v>304</v>
      </c>
    </row>
    <row r="95" spans="1:4" x14ac:dyDescent="0.35">
      <c r="A95" t="s">
        <v>236</v>
      </c>
      <c r="B95" t="s">
        <v>684</v>
      </c>
      <c r="C95" t="s">
        <v>39</v>
      </c>
      <c r="D95" t="s">
        <v>237</v>
      </c>
    </row>
    <row r="96" spans="1:4" x14ac:dyDescent="0.35">
      <c r="A96" t="s">
        <v>264</v>
      </c>
      <c r="B96" t="s">
        <v>35</v>
      </c>
      <c r="C96" t="s">
        <v>58</v>
      </c>
      <c r="D96" t="s">
        <v>265</v>
      </c>
    </row>
    <row r="97" spans="1:4" x14ac:dyDescent="0.35">
      <c r="A97" t="s">
        <v>424</v>
      </c>
      <c r="B97" t="s">
        <v>684</v>
      </c>
      <c r="C97" t="s">
        <v>39</v>
      </c>
      <c r="D97" t="s">
        <v>425</v>
      </c>
    </row>
    <row r="98" spans="1:4" x14ac:dyDescent="0.35">
      <c r="A98" t="s">
        <v>426</v>
      </c>
      <c r="B98" t="s">
        <v>35</v>
      </c>
      <c r="C98" t="s">
        <v>115</v>
      </c>
      <c r="D98" t="s">
        <v>427</v>
      </c>
    </row>
    <row r="99" spans="1:4" x14ac:dyDescent="0.35">
      <c r="A99" t="s">
        <v>428</v>
      </c>
      <c r="B99" t="s">
        <v>35</v>
      </c>
      <c r="C99" t="s">
        <v>36</v>
      </c>
      <c r="D99" t="s">
        <v>429</v>
      </c>
    </row>
    <row r="100" spans="1:4" x14ac:dyDescent="0.35">
      <c r="A100" t="s">
        <v>213</v>
      </c>
      <c r="B100" t="s">
        <v>684</v>
      </c>
      <c r="C100" t="s">
        <v>63</v>
      </c>
      <c r="D100" t="s">
        <v>214</v>
      </c>
    </row>
    <row r="101" spans="1:4" x14ac:dyDescent="0.35">
      <c r="A101" t="s">
        <v>186</v>
      </c>
      <c r="B101" t="s">
        <v>35</v>
      </c>
      <c r="C101" t="s">
        <v>143</v>
      </c>
      <c r="D101" t="s">
        <v>187</v>
      </c>
    </row>
    <row r="102" spans="1:4" x14ac:dyDescent="0.35">
      <c r="A102" t="s">
        <v>188</v>
      </c>
      <c r="B102" t="s">
        <v>684</v>
      </c>
      <c r="C102" t="s">
        <v>27</v>
      </c>
      <c r="D102" t="s">
        <v>189</v>
      </c>
    </row>
    <row r="103" spans="1:4" x14ac:dyDescent="0.35">
      <c r="A103" t="s">
        <v>190</v>
      </c>
      <c r="B103" t="s">
        <v>684</v>
      </c>
      <c r="C103" t="s">
        <v>43</v>
      </c>
      <c r="D103" t="s">
        <v>191</v>
      </c>
    </row>
    <row r="104" spans="1:4" x14ac:dyDescent="0.35">
      <c r="A104" t="s">
        <v>192</v>
      </c>
      <c r="B104" t="s">
        <v>684</v>
      </c>
      <c r="C104" t="s">
        <v>27</v>
      </c>
      <c r="D104" t="s">
        <v>193</v>
      </c>
    </row>
    <row r="105" spans="1:4" x14ac:dyDescent="0.35">
      <c r="A105" t="s">
        <v>388</v>
      </c>
      <c r="B105" t="s">
        <v>684</v>
      </c>
      <c r="C105" t="s">
        <v>73</v>
      </c>
      <c r="D105" t="s">
        <v>102</v>
      </c>
    </row>
    <row r="106" spans="1:4" x14ac:dyDescent="0.35">
      <c r="A106" t="s">
        <v>466</v>
      </c>
      <c r="B106" t="s">
        <v>684</v>
      </c>
      <c r="C106" t="s">
        <v>33</v>
      </c>
      <c r="D106" t="s">
        <v>467</v>
      </c>
    </row>
    <row r="107" spans="1:4" x14ac:dyDescent="0.35">
      <c r="A107" t="s">
        <v>177</v>
      </c>
      <c r="B107" t="s">
        <v>15</v>
      </c>
      <c r="C107" t="s">
        <v>25</v>
      </c>
      <c r="D107" t="s">
        <v>178</v>
      </c>
    </row>
    <row r="108" spans="1:4" x14ac:dyDescent="0.35">
      <c r="A108" t="s">
        <v>381</v>
      </c>
      <c r="B108" t="s">
        <v>684</v>
      </c>
      <c r="C108" t="s">
        <v>39</v>
      </c>
      <c r="D108" t="s">
        <v>382</v>
      </c>
    </row>
    <row r="109" spans="1:4" x14ac:dyDescent="0.35">
      <c r="A109" t="s">
        <v>280</v>
      </c>
      <c r="B109" t="s">
        <v>684</v>
      </c>
      <c r="C109" t="s">
        <v>43</v>
      </c>
      <c r="D109" t="s">
        <v>281</v>
      </c>
    </row>
    <row r="110" spans="1:4" x14ac:dyDescent="0.35">
      <c r="A110" t="s">
        <v>345</v>
      </c>
      <c r="B110" t="s">
        <v>684</v>
      </c>
      <c r="C110" t="s">
        <v>43</v>
      </c>
      <c r="D110" t="s">
        <v>346</v>
      </c>
    </row>
    <row r="111" spans="1:4" x14ac:dyDescent="0.35">
      <c r="A111" t="s">
        <v>501</v>
      </c>
      <c r="B111" t="s">
        <v>35</v>
      </c>
      <c r="C111" t="s">
        <v>36</v>
      </c>
      <c r="D111" t="s">
        <v>502</v>
      </c>
    </row>
    <row r="112" spans="1:4" x14ac:dyDescent="0.35">
      <c r="A112" t="s">
        <v>456</v>
      </c>
      <c r="B112" t="s">
        <v>35</v>
      </c>
      <c r="C112" t="s">
        <v>58</v>
      </c>
      <c r="D112" t="s">
        <v>457</v>
      </c>
    </row>
    <row r="113" spans="1:4" x14ac:dyDescent="0.35">
      <c r="A113" t="s">
        <v>400</v>
      </c>
      <c r="B113" t="s">
        <v>684</v>
      </c>
      <c r="C113" t="s">
        <v>39</v>
      </c>
      <c r="D113" t="s">
        <v>401</v>
      </c>
    </row>
    <row r="114" spans="1:4" x14ac:dyDescent="0.35">
      <c r="A114" t="s">
        <v>332</v>
      </c>
      <c r="B114" t="s">
        <v>684</v>
      </c>
      <c r="C114" t="s">
        <v>73</v>
      </c>
      <c r="D114" t="s">
        <v>333</v>
      </c>
    </row>
    <row r="115" spans="1:4" x14ac:dyDescent="0.35">
      <c r="A115" t="s">
        <v>51</v>
      </c>
      <c r="B115" t="s">
        <v>684</v>
      </c>
      <c r="C115" t="s">
        <v>41</v>
      </c>
      <c r="D115" t="s">
        <v>52</v>
      </c>
    </row>
    <row r="116" spans="1:4" x14ac:dyDescent="0.35">
      <c r="A116" t="s">
        <v>460</v>
      </c>
      <c r="B116" t="s">
        <v>684</v>
      </c>
      <c r="C116" t="s">
        <v>39</v>
      </c>
      <c r="D116" t="s">
        <v>461</v>
      </c>
    </row>
    <row r="117" spans="1:4" x14ac:dyDescent="0.35">
      <c r="A117" t="s">
        <v>477</v>
      </c>
      <c r="B117" t="s">
        <v>35</v>
      </c>
      <c r="C117" t="s">
        <v>36</v>
      </c>
      <c r="D117" t="s">
        <v>478</v>
      </c>
    </row>
    <row r="118" spans="1:4" x14ac:dyDescent="0.35">
      <c r="A118" t="s">
        <v>111</v>
      </c>
      <c r="B118" t="s">
        <v>684</v>
      </c>
      <c r="C118" t="s">
        <v>33</v>
      </c>
      <c r="D118" t="s">
        <v>112</v>
      </c>
    </row>
    <row r="119" spans="1:4" x14ac:dyDescent="0.35">
      <c r="A119" t="s">
        <v>120</v>
      </c>
      <c r="B119" t="s">
        <v>684</v>
      </c>
      <c r="C119" t="s">
        <v>39</v>
      </c>
      <c r="D119" t="s">
        <v>121</v>
      </c>
    </row>
    <row r="120" spans="1:4" x14ac:dyDescent="0.35">
      <c r="A120" t="s">
        <v>81</v>
      </c>
      <c r="B120" t="s">
        <v>684</v>
      </c>
      <c r="C120" t="s">
        <v>27</v>
      </c>
      <c r="D120" t="s">
        <v>82</v>
      </c>
    </row>
    <row r="121" spans="1:4" x14ac:dyDescent="0.35">
      <c r="A121" t="s">
        <v>358</v>
      </c>
      <c r="B121" t="s">
        <v>684</v>
      </c>
      <c r="C121" t="s">
        <v>73</v>
      </c>
      <c r="D121" t="s">
        <v>359</v>
      </c>
    </row>
    <row r="122" spans="1:4" x14ac:dyDescent="0.35">
      <c r="A122" t="s">
        <v>99</v>
      </c>
      <c r="B122" t="s">
        <v>15</v>
      </c>
      <c r="C122" t="s">
        <v>31</v>
      </c>
      <c r="D122" t="s">
        <v>100</v>
      </c>
    </row>
    <row r="123" spans="1:4" x14ac:dyDescent="0.35">
      <c r="A123" t="s">
        <v>444</v>
      </c>
      <c r="B123" t="s">
        <v>35</v>
      </c>
      <c r="C123" t="s">
        <v>36</v>
      </c>
      <c r="D123" t="s">
        <v>445</v>
      </c>
    </row>
    <row r="124" spans="1:4" x14ac:dyDescent="0.35">
      <c r="A124" t="s">
        <v>202</v>
      </c>
      <c r="B124" t="s">
        <v>684</v>
      </c>
      <c r="C124" t="s">
        <v>33</v>
      </c>
      <c r="D124" t="s">
        <v>203</v>
      </c>
    </row>
    <row r="125" spans="1:4" x14ac:dyDescent="0.35">
      <c r="A125" t="s">
        <v>266</v>
      </c>
      <c r="B125" t="s">
        <v>35</v>
      </c>
      <c r="C125" t="s">
        <v>58</v>
      </c>
      <c r="D125" t="s">
        <v>267</v>
      </c>
    </row>
    <row r="126" spans="1:4" x14ac:dyDescent="0.35">
      <c r="A126" t="s">
        <v>117</v>
      </c>
      <c r="B126" t="s">
        <v>35</v>
      </c>
      <c r="C126" t="s">
        <v>36</v>
      </c>
      <c r="D126" t="s">
        <v>118</v>
      </c>
    </row>
    <row r="127" spans="1:4" x14ac:dyDescent="0.35">
      <c r="A127" t="s">
        <v>317</v>
      </c>
      <c r="B127" t="s">
        <v>35</v>
      </c>
      <c r="C127" t="s">
        <v>58</v>
      </c>
      <c r="D127" t="s">
        <v>318</v>
      </c>
    </row>
    <row r="128" spans="1:4" x14ac:dyDescent="0.35">
      <c r="A128" t="s">
        <v>338</v>
      </c>
      <c r="B128" t="s">
        <v>15</v>
      </c>
      <c r="C128" t="s">
        <v>31</v>
      </c>
      <c r="D128" t="s">
        <v>339</v>
      </c>
    </row>
    <row r="129" spans="1:4" x14ac:dyDescent="0.35">
      <c r="A129" t="s">
        <v>329</v>
      </c>
      <c r="B129" t="s">
        <v>684</v>
      </c>
      <c r="C129" t="s">
        <v>43</v>
      </c>
      <c r="D129" t="s">
        <v>330</v>
      </c>
    </row>
    <row r="130" spans="1:4" x14ac:dyDescent="0.35">
      <c r="A130" t="s">
        <v>389</v>
      </c>
      <c r="B130" t="s">
        <v>35</v>
      </c>
      <c r="C130" t="s">
        <v>58</v>
      </c>
      <c r="D130" t="s">
        <v>390</v>
      </c>
    </row>
    <row r="131" spans="1:4" x14ac:dyDescent="0.35">
      <c r="A131" t="s">
        <v>138</v>
      </c>
      <c r="B131" t="s">
        <v>684</v>
      </c>
      <c r="C131" t="s">
        <v>39</v>
      </c>
      <c r="D131" t="s">
        <v>139</v>
      </c>
    </row>
    <row r="132" spans="1:4" x14ac:dyDescent="0.35">
      <c r="A132" t="s">
        <v>449</v>
      </c>
      <c r="B132" t="s">
        <v>684</v>
      </c>
      <c r="C132" t="s">
        <v>33</v>
      </c>
      <c r="D132" t="s">
        <v>450</v>
      </c>
    </row>
    <row r="133" spans="1:4" x14ac:dyDescent="0.35">
      <c r="A133" t="s">
        <v>396</v>
      </c>
      <c r="B133" t="s">
        <v>684</v>
      </c>
      <c r="C133" t="s">
        <v>105</v>
      </c>
      <c r="D133" t="s">
        <v>397</v>
      </c>
    </row>
    <row r="134" spans="1:4" x14ac:dyDescent="0.35">
      <c r="A134" t="s">
        <v>180</v>
      </c>
      <c r="B134" t="s">
        <v>684</v>
      </c>
      <c r="C134" t="s">
        <v>39</v>
      </c>
      <c r="D134" t="s">
        <v>181</v>
      </c>
    </row>
    <row r="135" spans="1:4" x14ac:dyDescent="0.35">
      <c r="A135" t="s">
        <v>270</v>
      </c>
      <c r="B135" t="s">
        <v>684</v>
      </c>
      <c r="C135" t="s">
        <v>22</v>
      </c>
      <c r="D135" t="s">
        <v>271</v>
      </c>
    </row>
    <row r="136" spans="1:4" x14ac:dyDescent="0.35">
      <c r="A136" t="s">
        <v>84</v>
      </c>
      <c r="B136" t="s">
        <v>684</v>
      </c>
      <c r="C136" t="s">
        <v>33</v>
      </c>
      <c r="D136" t="s">
        <v>85</v>
      </c>
    </row>
    <row r="137" spans="1:4" x14ac:dyDescent="0.35">
      <c r="A137" t="s">
        <v>447</v>
      </c>
      <c r="B137" t="s">
        <v>684</v>
      </c>
      <c r="C137" t="s">
        <v>43</v>
      </c>
      <c r="D137" t="s">
        <v>448</v>
      </c>
    </row>
    <row r="138" spans="1:4" x14ac:dyDescent="0.35">
      <c r="A138" t="s">
        <v>252</v>
      </c>
      <c r="B138" t="s">
        <v>684</v>
      </c>
      <c r="C138" t="s">
        <v>43</v>
      </c>
      <c r="D138" t="s">
        <v>253</v>
      </c>
    </row>
    <row r="139" spans="1:4" x14ac:dyDescent="0.35">
      <c r="A139" t="s">
        <v>208</v>
      </c>
      <c r="B139" t="s">
        <v>15</v>
      </c>
      <c r="C139" t="s">
        <v>31</v>
      </c>
      <c r="D139" t="s">
        <v>209</v>
      </c>
    </row>
    <row r="140" spans="1:4" x14ac:dyDescent="0.35">
      <c r="A140" t="s">
        <v>241</v>
      </c>
      <c r="B140" t="s">
        <v>684</v>
      </c>
      <c r="C140" t="s">
        <v>39</v>
      </c>
      <c r="D140" t="s">
        <v>242</v>
      </c>
    </row>
    <row r="141" spans="1:4" x14ac:dyDescent="0.35">
      <c r="A141" t="s">
        <v>141</v>
      </c>
      <c r="B141" t="s">
        <v>35</v>
      </c>
      <c r="C141" t="s">
        <v>36</v>
      </c>
      <c r="D141" t="s">
        <v>142</v>
      </c>
    </row>
    <row r="142" spans="1:4" x14ac:dyDescent="0.35">
      <c r="A142" t="s">
        <v>38</v>
      </c>
      <c r="B142" t="s">
        <v>684</v>
      </c>
      <c r="C142" t="s">
        <v>39</v>
      </c>
      <c r="D142" t="s">
        <v>40</v>
      </c>
    </row>
    <row r="143" spans="1:4" x14ac:dyDescent="0.35">
      <c r="A143" t="s">
        <v>245</v>
      </c>
      <c r="B143" t="s">
        <v>684</v>
      </c>
      <c r="C143" t="s">
        <v>33</v>
      </c>
      <c r="D143" t="s">
        <v>246</v>
      </c>
    </row>
    <row r="144" spans="1:4" x14ac:dyDescent="0.35">
      <c r="A144" t="s">
        <v>247</v>
      </c>
      <c r="B144" t="s">
        <v>15</v>
      </c>
      <c r="C144" t="s">
        <v>31</v>
      </c>
      <c r="D144" t="s">
        <v>248</v>
      </c>
    </row>
    <row r="145" spans="1:4" x14ac:dyDescent="0.35">
      <c r="A145" t="s">
        <v>216</v>
      </c>
      <c r="B145" t="s">
        <v>684</v>
      </c>
      <c r="C145" t="s">
        <v>27</v>
      </c>
      <c r="D145" t="s">
        <v>217</v>
      </c>
    </row>
    <row r="146" spans="1:4" x14ac:dyDescent="0.35">
      <c r="A146" t="s">
        <v>309</v>
      </c>
      <c r="B146" t="s">
        <v>684</v>
      </c>
      <c r="C146" t="s">
        <v>33</v>
      </c>
      <c r="D146" t="s">
        <v>310</v>
      </c>
    </row>
    <row r="147" spans="1:4" x14ac:dyDescent="0.35">
      <c r="A147" t="s">
        <v>473</v>
      </c>
      <c r="B147" t="s">
        <v>684</v>
      </c>
      <c r="C147" t="s">
        <v>33</v>
      </c>
      <c r="D147" t="s">
        <v>474</v>
      </c>
    </row>
    <row r="148" spans="1:4" x14ac:dyDescent="0.35">
      <c r="A148" t="s">
        <v>86</v>
      </c>
      <c r="B148" t="s">
        <v>15</v>
      </c>
      <c r="C148" t="s">
        <v>17</v>
      </c>
      <c r="D148" t="s">
        <v>87</v>
      </c>
    </row>
    <row r="149" spans="1:4" x14ac:dyDescent="0.35">
      <c r="A149" t="s">
        <v>496</v>
      </c>
      <c r="B149" t="s">
        <v>15</v>
      </c>
      <c r="C149" t="s">
        <v>17</v>
      </c>
      <c r="D149" t="s">
        <v>497</v>
      </c>
    </row>
    <row r="150" spans="1:4" x14ac:dyDescent="0.35">
      <c r="A150" t="s">
        <v>458</v>
      </c>
      <c r="B150" t="s">
        <v>15</v>
      </c>
      <c r="C150" t="s">
        <v>25</v>
      </c>
      <c r="D150" t="s">
        <v>459</v>
      </c>
    </row>
    <row r="151" spans="1:4" x14ac:dyDescent="0.35">
      <c r="A151" t="s">
        <v>218</v>
      </c>
      <c r="B151" t="s">
        <v>684</v>
      </c>
      <c r="C151" t="s">
        <v>105</v>
      </c>
      <c r="D151" t="s">
        <v>219</v>
      </c>
    </row>
    <row r="152" spans="1:4" x14ac:dyDescent="0.35">
      <c r="A152" t="s">
        <v>486</v>
      </c>
      <c r="B152" t="s">
        <v>35</v>
      </c>
      <c r="C152" t="s">
        <v>36</v>
      </c>
      <c r="D152" t="s">
        <v>487</v>
      </c>
    </row>
    <row r="153" spans="1:4" x14ac:dyDescent="0.35">
      <c r="A153" t="s">
        <v>132</v>
      </c>
      <c r="B153" t="s">
        <v>684</v>
      </c>
      <c r="C153" t="s">
        <v>33</v>
      </c>
      <c r="D153" t="s">
        <v>133</v>
      </c>
    </row>
    <row r="154" spans="1:4" x14ac:dyDescent="0.35">
      <c r="A154" t="s">
        <v>34</v>
      </c>
      <c r="B154" t="s">
        <v>35</v>
      </c>
      <c r="C154" t="s">
        <v>36</v>
      </c>
      <c r="D154" t="s">
        <v>37</v>
      </c>
    </row>
  </sheetData>
  <mergeCells count="1">
    <mergeCell ref="A1:D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53B0C-C1A0-4BBA-816F-D2A392C886CF}">
  <dimension ref="A1:K157"/>
  <sheetViews>
    <sheetView workbookViewId="0">
      <selection activeCell="G8" sqref="G8"/>
    </sheetView>
  </sheetViews>
  <sheetFormatPr defaultRowHeight="14.5" x14ac:dyDescent="0.35"/>
  <cols>
    <col min="1" max="1" width="14.54296875" bestFit="1" customWidth="1"/>
    <col min="2" max="2" width="16.08984375" bestFit="1" customWidth="1"/>
    <col min="3" max="3" width="10.1796875" style="2" bestFit="1" customWidth="1"/>
    <col min="4" max="4" width="8" bestFit="1" customWidth="1"/>
    <col min="5" max="5" width="8.36328125" style="3" bestFit="1" customWidth="1"/>
    <col min="6" max="6" width="10.81640625" style="4" bestFit="1" customWidth="1"/>
    <col min="7" max="7" width="107.08984375" bestFit="1" customWidth="1"/>
    <col min="8" max="8" width="13" bestFit="1" customWidth="1"/>
    <col min="9" max="9" width="11.7265625" bestFit="1" customWidth="1"/>
  </cols>
  <sheetData>
    <row r="1" spans="1:11" ht="16" x14ac:dyDescent="0.4">
      <c r="A1" s="13" t="s">
        <v>715</v>
      </c>
      <c r="B1" s="14"/>
      <c r="C1" s="14"/>
      <c r="D1" s="14"/>
      <c r="E1" s="14"/>
      <c r="F1" s="14"/>
      <c r="G1" s="14"/>
      <c r="H1" s="14"/>
      <c r="I1" s="14"/>
    </row>
    <row r="2" spans="1:11" x14ac:dyDescent="0.35">
      <c r="A2" s="6" t="s">
        <v>0</v>
      </c>
      <c r="B2" s="6" t="s">
        <v>685</v>
      </c>
      <c r="C2" s="7" t="s">
        <v>9</v>
      </c>
      <c r="D2" s="6" t="s">
        <v>10</v>
      </c>
      <c r="E2" s="8" t="s">
        <v>11</v>
      </c>
      <c r="F2" s="9" t="s">
        <v>12</v>
      </c>
      <c r="G2" s="6" t="s">
        <v>686</v>
      </c>
      <c r="H2" s="6" t="s">
        <v>7</v>
      </c>
      <c r="I2" s="6" t="s">
        <v>8</v>
      </c>
      <c r="J2" s="6" t="s">
        <v>6</v>
      </c>
      <c r="K2" s="6" t="s">
        <v>3</v>
      </c>
    </row>
    <row r="3" spans="1:11" x14ac:dyDescent="0.35">
      <c r="A3" t="s">
        <v>255</v>
      </c>
      <c r="B3" t="s">
        <v>258</v>
      </c>
      <c r="C3" s="2">
        <v>48.896000000000001</v>
      </c>
      <c r="D3">
        <v>4</v>
      </c>
      <c r="E3" s="3">
        <v>0.2</v>
      </c>
      <c r="F3" s="4">
        <v>8.5568000000000008</v>
      </c>
      <c r="G3" t="str">
        <f>_xlfn.XLOOKUP(B3,'Cleaned Data'!I3:I157,'Cleaned Data'!L3:L157)</f>
        <v>Linden 10" Round Wall Clock, Black</v>
      </c>
      <c r="H3" t="str">
        <f>_xlfn.XLOOKUP(B3,'Cleaned Data'!I3:I157,'Cleaned Data'!J3:J157)</f>
        <v>Furniture</v>
      </c>
      <c r="I3" t="str">
        <f>_xlfn.XLOOKUP(B3,'Cleaned Data'!I3:I157,'Cleaned Data'!K3:K157)</f>
        <v>Furnishings</v>
      </c>
      <c r="J3" t="str">
        <f>_xlfn.XLOOKUP(B3,'Cleaned Data'!I3:I157,'Cleaned Data'!H3:H157)</f>
        <v>East</v>
      </c>
      <c r="K3" t="str">
        <f>_xlfn.XLOOKUP(B3,'Cleaned Data'!I3:I157,'Cleaned Data'!E3:E157)</f>
        <v>Consumer</v>
      </c>
    </row>
    <row r="4" spans="1:11" x14ac:dyDescent="0.35">
      <c r="A4" t="s">
        <v>468</v>
      </c>
      <c r="B4" t="s">
        <v>469</v>
      </c>
      <c r="C4" s="2">
        <v>474.43</v>
      </c>
      <c r="D4">
        <v>11</v>
      </c>
      <c r="E4" s="3">
        <v>0</v>
      </c>
      <c r="F4" s="4">
        <v>199.26060000000001</v>
      </c>
      <c r="G4" t="str">
        <f>_xlfn.XLOOKUP(B4,'Cleaned Data'!I4:I158,'Cleaned Data'!L4:L158)</f>
        <v>Howard Miller 11-1/2" Diameter Brentwood Wall Clock</v>
      </c>
      <c r="H4" t="str">
        <f>_xlfn.XLOOKUP(B4,'Cleaned Data'!I4:I158,'Cleaned Data'!J4:J158)</f>
        <v>Furniture</v>
      </c>
      <c r="I4" t="str">
        <f>_xlfn.XLOOKUP(B4,'Cleaned Data'!I4:I158,'Cleaned Data'!K4:K158)</f>
        <v>Furnishings</v>
      </c>
      <c r="J4" t="str">
        <f>_xlfn.XLOOKUP(B4,'Cleaned Data'!I4:I158,'Cleaned Data'!H4:H158)</f>
        <v>West</v>
      </c>
      <c r="K4" t="str">
        <f>_xlfn.XLOOKUP(B4,'Cleaned Data'!I4:I158,'Cleaned Data'!E4:E158)</f>
        <v>Consumer</v>
      </c>
    </row>
    <row r="5" spans="1:11" x14ac:dyDescent="0.35">
      <c r="A5" t="s">
        <v>511</v>
      </c>
      <c r="B5" t="s">
        <v>282</v>
      </c>
      <c r="C5" s="2">
        <v>3.6</v>
      </c>
      <c r="D5">
        <v>2</v>
      </c>
      <c r="E5" s="3">
        <v>0</v>
      </c>
      <c r="F5" s="4">
        <v>1.728</v>
      </c>
      <c r="G5" t="str">
        <f>_xlfn.XLOOKUP(B5,'Cleaned Data'!I5:I159,'Cleaned Data'!L5:L159)</f>
        <v>Wilson Jones Easy Flow II Sheet Lifters</v>
      </c>
      <c r="H5" t="str">
        <f>_xlfn.XLOOKUP(B5,'Cleaned Data'!I5:I159,'Cleaned Data'!J5:J159)</f>
        <v>Office Supplies</v>
      </c>
      <c r="I5" t="str">
        <f>_xlfn.XLOOKUP(B5,'Cleaned Data'!I5:I159,'Cleaned Data'!K5:K159)</f>
        <v>Binders</v>
      </c>
      <c r="J5" t="str">
        <f>_xlfn.XLOOKUP(B5,'Cleaned Data'!I5:I159,'Cleaned Data'!H5:H159)</f>
        <v>Central</v>
      </c>
      <c r="K5" t="str">
        <f>_xlfn.XLOOKUP(B5,'Cleaned Data'!I5:I159,'Cleaned Data'!E5:E159)</f>
        <v>Home Office</v>
      </c>
    </row>
    <row r="6" spans="1:11" x14ac:dyDescent="0.35">
      <c r="A6" t="s">
        <v>526</v>
      </c>
      <c r="B6" t="s">
        <v>170</v>
      </c>
      <c r="C6" s="2">
        <v>454.56</v>
      </c>
      <c r="D6">
        <v>5</v>
      </c>
      <c r="E6" s="3">
        <v>0.2</v>
      </c>
      <c r="F6" s="4">
        <v>-107.958</v>
      </c>
      <c r="G6" t="str">
        <f>_xlfn.XLOOKUP(B6,'Cleaned Data'!I6:I160,'Cleaned Data'!L6:L160)</f>
        <v>SAFCO Boltless Steel Shelving</v>
      </c>
      <c r="H6" t="str">
        <f>_xlfn.XLOOKUP(B6,'Cleaned Data'!I6:I160,'Cleaned Data'!J6:J160)</f>
        <v>Office Supplies</v>
      </c>
      <c r="I6" t="str">
        <f>_xlfn.XLOOKUP(B6,'Cleaned Data'!I6:I160,'Cleaned Data'!K6:K160)</f>
        <v>Storage</v>
      </c>
      <c r="J6" t="str">
        <f>_xlfn.XLOOKUP(B6,'Cleaned Data'!I6:I160,'Cleaned Data'!H6:H160)</f>
        <v>Central</v>
      </c>
      <c r="K6" t="str">
        <f>_xlfn.XLOOKUP(B6,'Cleaned Data'!I6:I160,'Cleaned Data'!E6:E160)</f>
        <v>Consumer</v>
      </c>
    </row>
    <row r="7" spans="1:11" x14ac:dyDescent="0.35">
      <c r="A7" t="s">
        <v>526</v>
      </c>
      <c r="B7" t="s">
        <v>442</v>
      </c>
      <c r="C7" s="2">
        <v>141.41999999999999</v>
      </c>
      <c r="D7">
        <v>5</v>
      </c>
      <c r="E7" s="3">
        <v>0.6</v>
      </c>
      <c r="F7" s="4">
        <v>-187.38149999999999</v>
      </c>
      <c r="G7" t="str">
        <f>_xlfn.XLOOKUP(B7,'Cleaned Data'!I7:I161,'Cleaned Data'!L7:L161)</f>
        <v>Tenex Carpeted, Granite-Look or Clear Contemporary Contour Shape Chair Mats</v>
      </c>
      <c r="H7" t="str">
        <f>_xlfn.XLOOKUP(B7,'Cleaned Data'!I7:I161,'Cleaned Data'!J7:J161)</f>
        <v>Furniture</v>
      </c>
      <c r="I7" t="str">
        <f>_xlfn.XLOOKUP(B7,'Cleaned Data'!I7:I161,'Cleaned Data'!K7:K161)</f>
        <v>Furnishings</v>
      </c>
      <c r="J7" t="str">
        <f>_xlfn.XLOOKUP(B7,'Cleaned Data'!I7:I161,'Cleaned Data'!H7:H161)</f>
        <v>Central</v>
      </c>
      <c r="K7" t="str">
        <f>_xlfn.XLOOKUP(B7,'Cleaned Data'!I7:I161,'Cleaned Data'!E7:E161)</f>
        <v>Consumer</v>
      </c>
    </row>
    <row r="8" spans="1:11" x14ac:dyDescent="0.35">
      <c r="A8" t="s">
        <v>526</v>
      </c>
      <c r="B8" t="s">
        <v>250</v>
      </c>
      <c r="C8" s="2">
        <v>310.74400000000003</v>
      </c>
      <c r="D8">
        <v>4</v>
      </c>
      <c r="E8" s="3">
        <v>0.3</v>
      </c>
      <c r="F8" s="4">
        <v>-26.635200000000001</v>
      </c>
      <c r="G8" t="str">
        <f>_xlfn.XLOOKUP(B8,'Cleaned Data'!I8:I162,'Cleaned Data'!L8:L162)</f>
        <v>Office Star - Contemporary Task Swivel Chair</v>
      </c>
      <c r="H8" t="str">
        <f>_xlfn.XLOOKUP(B8,'Cleaned Data'!I8:I162,'Cleaned Data'!J8:J162)</f>
        <v>Furniture</v>
      </c>
      <c r="I8" t="str">
        <f>_xlfn.XLOOKUP(B8,'Cleaned Data'!I8:I162,'Cleaned Data'!K8:K162)</f>
        <v>Chairs</v>
      </c>
      <c r="J8" t="str">
        <f>_xlfn.XLOOKUP(B8,'Cleaned Data'!I8:I162,'Cleaned Data'!H8:H162)</f>
        <v>Central</v>
      </c>
      <c r="K8" t="str">
        <f>_xlfn.XLOOKUP(B8,'Cleaned Data'!I8:I162,'Cleaned Data'!E8:E162)</f>
        <v>Consumer</v>
      </c>
    </row>
    <row r="9" spans="1:11" x14ac:dyDescent="0.35">
      <c r="A9" t="s">
        <v>526</v>
      </c>
      <c r="B9" t="s">
        <v>268</v>
      </c>
      <c r="C9" s="2">
        <v>12.736000000000001</v>
      </c>
      <c r="D9">
        <v>4</v>
      </c>
      <c r="E9" s="3">
        <v>0.2</v>
      </c>
      <c r="F9" s="4">
        <v>2.2288000000000001</v>
      </c>
      <c r="G9" t="str">
        <f>_xlfn.XLOOKUP(B9,'Cleaned Data'!I9:I163,'Cleaned Data'!L9:L163)</f>
        <v>Fluorescent Highlighters by Dixon</v>
      </c>
      <c r="H9" t="str">
        <f>_xlfn.XLOOKUP(B9,'Cleaned Data'!I9:I163,'Cleaned Data'!J9:J163)</f>
        <v>Office Supplies</v>
      </c>
      <c r="I9" t="str">
        <f>_xlfn.XLOOKUP(B9,'Cleaned Data'!I9:I163,'Cleaned Data'!K9:K163)</f>
        <v>Art</v>
      </c>
      <c r="J9" t="str">
        <f>_xlfn.XLOOKUP(B9,'Cleaned Data'!I9:I163,'Cleaned Data'!H9:H163)</f>
        <v>Central</v>
      </c>
      <c r="K9" t="str">
        <f>_xlfn.XLOOKUP(B9,'Cleaned Data'!I9:I163,'Cleaned Data'!E9:E163)</f>
        <v>Consumer</v>
      </c>
    </row>
    <row r="10" spans="1:11" x14ac:dyDescent="0.35">
      <c r="A10" t="s">
        <v>526</v>
      </c>
      <c r="B10" t="s">
        <v>243</v>
      </c>
      <c r="C10" s="2">
        <v>6.47</v>
      </c>
      <c r="D10">
        <v>5</v>
      </c>
      <c r="E10" s="3">
        <v>0.8</v>
      </c>
      <c r="F10" s="4">
        <v>-9.7050000000000001</v>
      </c>
      <c r="G10" t="str">
        <f>_xlfn.XLOOKUP(B10,'Cleaned Data'!I10:I164,'Cleaned Data'!L10:L164)</f>
        <v>GBC Instant Report Kit</v>
      </c>
      <c r="H10" t="str">
        <f>_xlfn.XLOOKUP(B10,'Cleaned Data'!I10:I164,'Cleaned Data'!J10:J164)</f>
        <v>Office Supplies</v>
      </c>
      <c r="I10" t="str">
        <f>_xlfn.XLOOKUP(B10,'Cleaned Data'!I10:I164,'Cleaned Data'!K10:K164)</f>
        <v>Binders</v>
      </c>
      <c r="J10" t="str">
        <f>_xlfn.XLOOKUP(B10,'Cleaned Data'!I10:I164,'Cleaned Data'!H10:H164)</f>
        <v>Central</v>
      </c>
      <c r="K10" t="str">
        <f>_xlfn.XLOOKUP(B10,'Cleaned Data'!I10:I164,'Cleaned Data'!E10:E164)</f>
        <v>Consumer</v>
      </c>
    </row>
    <row r="11" spans="1:11" x14ac:dyDescent="0.35">
      <c r="A11" t="s">
        <v>526</v>
      </c>
      <c r="B11" t="s">
        <v>122</v>
      </c>
      <c r="C11" s="2">
        <v>13.747999999999999</v>
      </c>
      <c r="D11">
        <v>14</v>
      </c>
      <c r="E11" s="3">
        <v>0.8</v>
      </c>
      <c r="F11" s="4">
        <v>-22.684200000000001</v>
      </c>
      <c r="G11" t="str">
        <f>_xlfn.XLOOKUP(B11,'Cleaned Data'!I11:I165,'Cleaned Data'!L11:L165)</f>
        <v>Pressboard Covers with Storage Hooks, 9 1/2" x 11", Light Blue</v>
      </c>
      <c r="H11" t="str">
        <f>_xlfn.XLOOKUP(B11,'Cleaned Data'!I11:I165,'Cleaned Data'!J11:J165)</f>
        <v>Office Supplies</v>
      </c>
      <c r="I11" t="str">
        <f>_xlfn.XLOOKUP(B11,'Cleaned Data'!I11:I165,'Cleaned Data'!K11:K165)</f>
        <v>Binders</v>
      </c>
      <c r="J11" t="str">
        <f>_xlfn.XLOOKUP(B11,'Cleaned Data'!I11:I165,'Cleaned Data'!H11:H165)</f>
        <v>Central</v>
      </c>
      <c r="K11" t="str">
        <f>_xlfn.XLOOKUP(B11,'Cleaned Data'!I11:I165,'Cleaned Data'!E11:E165)</f>
        <v>Consumer</v>
      </c>
    </row>
    <row r="12" spans="1:11" x14ac:dyDescent="0.35">
      <c r="A12" t="s">
        <v>526</v>
      </c>
      <c r="B12" t="s">
        <v>204</v>
      </c>
      <c r="C12" s="2">
        <v>15.224</v>
      </c>
      <c r="D12">
        <v>2</v>
      </c>
      <c r="E12" s="3">
        <v>0.8</v>
      </c>
      <c r="F12" s="4">
        <v>-38.821199999999997</v>
      </c>
      <c r="G12" t="str">
        <f>_xlfn.XLOOKUP(B12,'Cleaned Data'!I12:I166,'Cleaned Data'!L12:L166)</f>
        <v>Fellowes Superior 10 Outlet Split Surge Protector</v>
      </c>
      <c r="H12" t="str">
        <f>_xlfn.XLOOKUP(B12,'Cleaned Data'!I12:I166,'Cleaned Data'!J12:J166)</f>
        <v>Office Supplies</v>
      </c>
      <c r="I12" t="str">
        <f>_xlfn.XLOOKUP(B12,'Cleaned Data'!I12:I166,'Cleaned Data'!K12:K166)</f>
        <v>Appliances</v>
      </c>
      <c r="J12" t="str">
        <f>_xlfn.XLOOKUP(B12,'Cleaned Data'!I12:I166,'Cleaned Data'!H12:H166)</f>
        <v>Central</v>
      </c>
      <c r="K12" t="str">
        <f>_xlfn.XLOOKUP(B12,'Cleaned Data'!I12:I166,'Cleaned Data'!E12:E166)</f>
        <v>Consumer</v>
      </c>
    </row>
    <row r="13" spans="1:11" x14ac:dyDescent="0.35">
      <c r="A13" t="s">
        <v>323</v>
      </c>
      <c r="B13" t="s">
        <v>325</v>
      </c>
      <c r="C13" s="2">
        <v>695.7</v>
      </c>
      <c r="D13">
        <v>2</v>
      </c>
      <c r="E13" s="3">
        <v>0.5</v>
      </c>
      <c r="F13" s="4">
        <v>-27.827999999999999</v>
      </c>
      <c r="G13" t="str">
        <f>_xlfn.XLOOKUP(B13,'Cleaned Data'!I13:I167,'Cleaned Data'!L13:L167)</f>
        <v>Cisco CP-7937G Unified IP Conference Station Phone</v>
      </c>
      <c r="H13" t="str">
        <f>_xlfn.XLOOKUP(B13,'Cleaned Data'!I13:I167,'Cleaned Data'!J13:J167)</f>
        <v>Technology</v>
      </c>
      <c r="I13" t="str">
        <f>_xlfn.XLOOKUP(B13,'Cleaned Data'!I13:I167,'Cleaned Data'!K13:K167)</f>
        <v>Machines</v>
      </c>
      <c r="J13" t="str">
        <f>_xlfn.XLOOKUP(B13,'Cleaned Data'!I13:I167,'Cleaned Data'!H13:H167)</f>
        <v>South</v>
      </c>
      <c r="K13" t="str">
        <f>_xlfn.XLOOKUP(B13,'Cleaned Data'!I13:I167,'Cleaned Data'!E13:E167)</f>
        <v>Corporate</v>
      </c>
    </row>
    <row r="14" spans="1:11" x14ac:dyDescent="0.35">
      <c r="A14" t="s">
        <v>323</v>
      </c>
      <c r="B14" t="s">
        <v>311</v>
      </c>
      <c r="C14" s="2">
        <v>15.66</v>
      </c>
      <c r="D14">
        <v>5</v>
      </c>
      <c r="E14" s="3">
        <v>0.7</v>
      </c>
      <c r="F14" s="4">
        <v>-12.528</v>
      </c>
      <c r="G14" t="str">
        <f>_xlfn.XLOOKUP(B14,'Cleaned Data'!I14:I168,'Cleaned Data'!L14:L168)</f>
        <v>Avery 3 1/2" Diskette Storage Pages, 10/Pack</v>
      </c>
      <c r="H14" t="str">
        <f>_xlfn.XLOOKUP(B14,'Cleaned Data'!I14:I168,'Cleaned Data'!J14:J168)</f>
        <v>Office Supplies</v>
      </c>
      <c r="I14" t="str">
        <f>_xlfn.XLOOKUP(B14,'Cleaned Data'!I14:I168,'Cleaned Data'!K14:K168)</f>
        <v>Binders</v>
      </c>
      <c r="J14" t="str">
        <f>_xlfn.XLOOKUP(B14,'Cleaned Data'!I14:I168,'Cleaned Data'!H14:H168)</f>
        <v>South</v>
      </c>
      <c r="K14" t="str">
        <f>_xlfn.XLOOKUP(B14,'Cleaned Data'!I14:I168,'Cleaned Data'!E14:E168)</f>
        <v>Corporate</v>
      </c>
    </row>
    <row r="15" spans="1:11" x14ac:dyDescent="0.35">
      <c r="A15" t="s">
        <v>323</v>
      </c>
      <c r="B15" t="s">
        <v>60</v>
      </c>
      <c r="C15" s="2">
        <v>28.853999999999999</v>
      </c>
      <c r="D15">
        <v>6</v>
      </c>
      <c r="E15" s="3">
        <v>0.7</v>
      </c>
      <c r="F15" s="4">
        <v>-21.159600000000001</v>
      </c>
      <c r="G15" t="str">
        <f>_xlfn.XLOOKUP(B15,'Cleaned Data'!I15:I169,'Cleaned Data'!L15:L169)</f>
        <v>Avery Recycled Flexi-View Covers for Binding Systems</v>
      </c>
      <c r="H15" t="str">
        <f>_xlfn.XLOOKUP(B15,'Cleaned Data'!I15:I169,'Cleaned Data'!J15:J169)</f>
        <v>Office Supplies</v>
      </c>
      <c r="I15" t="str">
        <f>_xlfn.XLOOKUP(B15,'Cleaned Data'!I15:I169,'Cleaned Data'!K15:K169)</f>
        <v>Binders</v>
      </c>
      <c r="J15" t="str">
        <f>_xlfn.XLOOKUP(B15,'Cleaned Data'!I15:I169,'Cleaned Data'!H15:H169)</f>
        <v>South</v>
      </c>
      <c r="K15" t="str">
        <f>_xlfn.XLOOKUP(B15,'Cleaned Data'!I15:I169,'Cleaned Data'!E15:E169)</f>
        <v>Corporate</v>
      </c>
    </row>
    <row r="16" spans="1:11" x14ac:dyDescent="0.35">
      <c r="A16" t="s">
        <v>529</v>
      </c>
      <c r="B16" t="s">
        <v>348</v>
      </c>
      <c r="C16" s="2">
        <v>31.744</v>
      </c>
      <c r="D16">
        <v>2</v>
      </c>
      <c r="E16" s="3">
        <v>0.2</v>
      </c>
      <c r="F16" s="4">
        <v>3.968</v>
      </c>
      <c r="G16" t="str">
        <f>_xlfn.XLOOKUP(B16,'Cleaned Data'!I16:I170,'Cleaned Data'!L16:L170)</f>
        <v>Newell 319</v>
      </c>
      <c r="H16" t="str">
        <f>_xlfn.XLOOKUP(B16,'Cleaned Data'!I16:I170,'Cleaned Data'!J16:J170)</f>
        <v>Office Supplies</v>
      </c>
      <c r="I16" t="str">
        <f>_xlfn.XLOOKUP(B16,'Cleaned Data'!I16:I170,'Cleaned Data'!K16:K170)</f>
        <v>Art</v>
      </c>
      <c r="J16" t="str">
        <f>_xlfn.XLOOKUP(B16,'Cleaned Data'!I16:I170,'Cleaned Data'!H16:H170)</f>
        <v>Central</v>
      </c>
      <c r="K16" t="str">
        <f>_xlfn.XLOOKUP(B16,'Cleaned Data'!I16:I170,'Cleaned Data'!E16:E170)</f>
        <v>Consumer</v>
      </c>
    </row>
    <row r="17" spans="1:11" x14ac:dyDescent="0.35">
      <c r="A17" t="s">
        <v>529</v>
      </c>
      <c r="B17" t="s">
        <v>522</v>
      </c>
      <c r="C17" s="2">
        <v>5.4320000000000004</v>
      </c>
      <c r="D17">
        <v>2</v>
      </c>
      <c r="E17" s="3">
        <v>0.8</v>
      </c>
      <c r="F17" s="4">
        <v>-13.58</v>
      </c>
      <c r="G17" t="str">
        <f>_xlfn.XLOOKUP(B17,'Cleaned Data'!I17:I171,'Cleaned Data'!L17:L171)</f>
        <v>Hoover Commercial SteamVac</v>
      </c>
      <c r="H17" t="str">
        <f>_xlfn.XLOOKUP(B17,'Cleaned Data'!I17:I171,'Cleaned Data'!J17:J171)</f>
        <v>Office Supplies</v>
      </c>
      <c r="I17" t="str">
        <f>_xlfn.XLOOKUP(B17,'Cleaned Data'!I17:I171,'Cleaned Data'!K17:K171)</f>
        <v>Appliances</v>
      </c>
      <c r="J17" t="str">
        <f>_xlfn.XLOOKUP(B17,'Cleaned Data'!I17:I171,'Cleaned Data'!H17:H171)</f>
        <v>Central</v>
      </c>
      <c r="K17" t="str">
        <f>_xlfn.XLOOKUP(B17,'Cleaned Data'!I17:I171,'Cleaned Data'!E17:E171)</f>
        <v>Consumer</v>
      </c>
    </row>
    <row r="18" spans="1:11" x14ac:dyDescent="0.35">
      <c r="A18" t="s">
        <v>529</v>
      </c>
      <c r="B18" t="s">
        <v>334</v>
      </c>
      <c r="C18" s="2">
        <v>913.43</v>
      </c>
      <c r="D18">
        <v>5</v>
      </c>
      <c r="E18" s="3">
        <v>0.3</v>
      </c>
      <c r="F18" s="4">
        <v>-169.637</v>
      </c>
      <c r="G18" t="str">
        <f>_xlfn.XLOOKUP(B18,'Cleaned Data'!I18:I172,'Cleaned Data'!L18:L172)</f>
        <v>Bevis Oval Conference Table, Walnut</v>
      </c>
      <c r="H18" t="str">
        <f>_xlfn.XLOOKUP(B18,'Cleaned Data'!I18:I172,'Cleaned Data'!J18:J172)</f>
        <v>Furniture</v>
      </c>
      <c r="I18" t="str">
        <f>_xlfn.XLOOKUP(B18,'Cleaned Data'!I18:I172,'Cleaned Data'!K18:K172)</f>
        <v>Tables</v>
      </c>
      <c r="J18" t="str">
        <f>_xlfn.XLOOKUP(B18,'Cleaned Data'!I18:I172,'Cleaned Data'!H18:H172)</f>
        <v>Central</v>
      </c>
      <c r="K18" t="str">
        <f>_xlfn.XLOOKUP(B18,'Cleaned Data'!I18:I172,'Cleaned Data'!E18:E172)</f>
        <v>Consumer</v>
      </c>
    </row>
    <row r="19" spans="1:11" x14ac:dyDescent="0.35">
      <c r="A19" t="s">
        <v>529</v>
      </c>
      <c r="B19" t="s">
        <v>439</v>
      </c>
      <c r="C19" s="2">
        <v>372.14400000000001</v>
      </c>
      <c r="D19">
        <v>3</v>
      </c>
      <c r="E19" s="3">
        <v>0.2</v>
      </c>
      <c r="F19" s="4">
        <v>27.910799999999998</v>
      </c>
      <c r="G19" t="str">
        <f>_xlfn.XLOOKUP(B19,'Cleaned Data'!I19:I173,'Cleaned Data'!L19:L173)</f>
        <v>Dual Level, Single-Width Filing Carts</v>
      </c>
      <c r="H19" t="str">
        <f>_xlfn.XLOOKUP(B19,'Cleaned Data'!I19:I173,'Cleaned Data'!J19:J173)</f>
        <v>Office Supplies</v>
      </c>
      <c r="I19" t="str">
        <f>_xlfn.XLOOKUP(B19,'Cleaned Data'!I19:I173,'Cleaned Data'!K19:K173)</f>
        <v>Storage</v>
      </c>
      <c r="J19" t="str">
        <f>_xlfn.XLOOKUP(B19,'Cleaned Data'!I19:I173,'Cleaned Data'!H19:H173)</f>
        <v>Central</v>
      </c>
      <c r="K19" t="str">
        <f>_xlfn.XLOOKUP(B19,'Cleaned Data'!I19:I173,'Cleaned Data'!E19:E173)</f>
        <v>Consumer</v>
      </c>
    </row>
    <row r="20" spans="1:11" x14ac:dyDescent="0.35">
      <c r="A20" t="s">
        <v>538</v>
      </c>
      <c r="B20" t="s">
        <v>419</v>
      </c>
      <c r="C20" s="2">
        <v>16.59</v>
      </c>
      <c r="D20">
        <v>1</v>
      </c>
      <c r="E20" s="3">
        <v>0</v>
      </c>
      <c r="F20" s="4">
        <v>5.8064999999999998</v>
      </c>
      <c r="G20" t="str">
        <f>_xlfn.XLOOKUP(B20,'Cleaned Data'!I20:I174,'Cleaned Data'!L20:L174)</f>
        <v>Kensington K72356US Mouse-in-a-Box USB Desktop Mouse</v>
      </c>
      <c r="H20" t="str">
        <f>_xlfn.XLOOKUP(B20,'Cleaned Data'!I20:I174,'Cleaned Data'!J20:J174)</f>
        <v>Technology</v>
      </c>
      <c r="I20" t="str">
        <f>_xlfn.XLOOKUP(B20,'Cleaned Data'!I20:I174,'Cleaned Data'!K20:K174)</f>
        <v>Accessories</v>
      </c>
      <c r="J20" t="str">
        <f>_xlfn.XLOOKUP(B20,'Cleaned Data'!I20:I174,'Cleaned Data'!H20:H174)</f>
        <v>West</v>
      </c>
      <c r="K20" t="str">
        <f>_xlfn.XLOOKUP(B20,'Cleaned Data'!I20:I174,'Cleaned Data'!E20:E174)</f>
        <v>Corporate</v>
      </c>
    </row>
    <row r="21" spans="1:11" x14ac:dyDescent="0.35">
      <c r="A21" t="s">
        <v>492</v>
      </c>
      <c r="B21" t="s">
        <v>307</v>
      </c>
      <c r="C21" s="2">
        <v>38.880000000000003</v>
      </c>
      <c r="D21">
        <v>6</v>
      </c>
      <c r="E21" s="3">
        <v>0</v>
      </c>
      <c r="F21" s="4">
        <v>18.662400000000002</v>
      </c>
      <c r="G21" t="str">
        <f>_xlfn.XLOOKUP(B21,'Cleaned Data'!I21:I175,'Cleaned Data'!L21:L175)</f>
        <v>Xerox 1905</v>
      </c>
      <c r="H21" t="str">
        <f>_xlfn.XLOOKUP(B21,'Cleaned Data'!I21:I175,'Cleaned Data'!J21:J175)</f>
        <v>Office Supplies</v>
      </c>
      <c r="I21" t="str">
        <f>_xlfn.XLOOKUP(B21,'Cleaned Data'!I21:I175,'Cleaned Data'!K21:K175)</f>
        <v>Paper</v>
      </c>
      <c r="J21" t="str">
        <f>_xlfn.XLOOKUP(B21,'Cleaned Data'!I21:I175,'Cleaned Data'!H21:H175)</f>
        <v>West</v>
      </c>
      <c r="K21" t="str">
        <f>_xlfn.XLOOKUP(B21,'Cleaned Data'!I21:I175,'Cleaned Data'!E21:E175)</f>
        <v>Consumer</v>
      </c>
    </row>
    <row r="22" spans="1:11" x14ac:dyDescent="0.35">
      <c r="A22" t="s">
        <v>535</v>
      </c>
      <c r="B22" t="s">
        <v>161</v>
      </c>
      <c r="C22" s="2">
        <v>2022.2719999999999</v>
      </c>
      <c r="D22">
        <v>8</v>
      </c>
      <c r="E22" s="3">
        <v>0.2</v>
      </c>
      <c r="F22" s="4">
        <v>682.51679999999999</v>
      </c>
      <c r="G22" t="str">
        <f>_xlfn.XLOOKUP(B22,'Cleaned Data'!I22:I176,'Cleaned Data'!L22:L176)</f>
        <v>GBC ProClick 150 Presentation Binding System</v>
      </c>
      <c r="H22" t="str">
        <f>_xlfn.XLOOKUP(B22,'Cleaned Data'!I22:I176,'Cleaned Data'!J22:J176)</f>
        <v>Office Supplies</v>
      </c>
      <c r="I22" t="str">
        <f>_xlfn.XLOOKUP(B22,'Cleaned Data'!I22:I176,'Cleaned Data'!K22:K176)</f>
        <v>Binders</v>
      </c>
      <c r="J22" t="str">
        <f>_xlfn.XLOOKUP(B22,'Cleaned Data'!I22:I176,'Cleaned Data'!H22:H176)</f>
        <v>West</v>
      </c>
      <c r="K22" t="str">
        <f>_xlfn.XLOOKUP(B22,'Cleaned Data'!I22:I176,'Cleaned Data'!E22:E176)</f>
        <v>Consumer</v>
      </c>
    </row>
    <row r="23" spans="1:11" x14ac:dyDescent="0.35">
      <c r="A23" t="s">
        <v>535</v>
      </c>
      <c r="B23" t="s">
        <v>405</v>
      </c>
      <c r="C23" s="2">
        <v>9.1199999999999992</v>
      </c>
      <c r="D23">
        <v>3</v>
      </c>
      <c r="E23" s="3">
        <v>0</v>
      </c>
      <c r="F23" s="4">
        <v>3.1008</v>
      </c>
      <c r="G23" t="str">
        <f>_xlfn.XLOOKUP(B23,'Cleaned Data'!I23:I177,'Cleaned Data'!L23:L177)</f>
        <v>Manco Dry-Lighter Erasable Highlighter</v>
      </c>
      <c r="H23" t="str">
        <f>_xlfn.XLOOKUP(B23,'Cleaned Data'!I23:I177,'Cleaned Data'!J23:J177)</f>
        <v>Office Supplies</v>
      </c>
      <c r="I23" t="str">
        <f>_xlfn.XLOOKUP(B23,'Cleaned Data'!I23:I177,'Cleaned Data'!K23:K177)</f>
        <v>Art</v>
      </c>
      <c r="J23" t="str">
        <f>_xlfn.XLOOKUP(B23,'Cleaned Data'!I23:I177,'Cleaned Data'!H23:H177)</f>
        <v>West</v>
      </c>
      <c r="K23" t="str">
        <f>_xlfn.XLOOKUP(B23,'Cleaned Data'!I23:I177,'Cleaned Data'!E23:E177)</f>
        <v>Consumer</v>
      </c>
    </row>
    <row r="24" spans="1:11" x14ac:dyDescent="0.35">
      <c r="A24" t="s">
        <v>484</v>
      </c>
      <c r="B24" t="s">
        <v>210</v>
      </c>
      <c r="C24" s="2">
        <v>33.74</v>
      </c>
      <c r="D24">
        <v>7</v>
      </c>
      <c r="E24" s="3">
        <v>0</v>
      </c>
      <c r="F24" s="4">
        <v>15.5204</v>
      </c>
      <c r="G24" t="str">
        <f>_xlfn.XLOOKUP(B24,'Cleaned Data'!I24:I178,'Cleaned Data'!L24:L178)</f>
        <v>Wilson Jones Turn Tabs Binder Tool for Ring Binders</v>
      </c>
      <c r="H24" t="str">
        <f>_xlfn.XLOOKUP(B24,'Cleaned Data'!I24:I178,'Cleaned Data'!J24:J178)</f>
        <v>Office Supplies</v>
      </c>
      <c r="I24" t="str">
        <f>_xlfn.XLOOKUP(B24,'Cleaned Data'!I24:I178,'Cleaned Data'!K24:K178)</f>
        <v>Binders</v>
      </c>
      <c r="J24" t="str">
        <f>_xlfn.XLOOKUP(B24,'Cleaned Data'!I24:I178,'Cleaned Data'!H24:H178)</f>
        <v>South</v>
      </c>
      <c r="K24" t="str">
        <f>_xlfn.XLOOKUP(B24,'Cleaned Data'!I24:I178,'Cleaned Data'!E24:E178)</f>
        <v>Home Office</v>
      </c>
    </row>
    <row r="25" spans="1:11" x14ac:dyDescent="0.35">
      <c r="A25" t="s">
        <v>284</v>
      </c>
      <c r="B25" t="s">
        <v>114</v>
      </c>
      <c r="C25" s="2">
        <v>3059.982</v>
      </c>
      <c r="D25">
        <v>2</v>
      </c>
      <c r="E25" s="3">
        <v>0.1</v>
      </c>
      <c r="F25" s="4">
        <v>679.99599999999998</v>
      </c>
      <c r="G25" t="str">
        <f>_xlfn.XLOOKUP(B25,'Cleaned Data'!I25:I179,'Cleaned Data'!L25:L179)</f>
        <v>Lexmark MX611dhe Monochrome Laser Printer</v>
      </c>
      <c r="H25" t="str">
        <f>_xlfn.XLOOKUP(B25,'Cleaned Data'!I25:I179,'Cleaned Data'!J25:J179)</f>
        <v>Technology</v>
      </c>
      <c r="I25" t="str">
        <f>_xlfn.XLOOKUP(B25,'Cleaned Data'!I25:I179,'Cleaned Data'!K25:K179)</f>
        <v>Machines</v>
      </c>
      <c r="J25" t="str">
        <f>_xlfn.XLOOKUP(B25,'Cleaned Data'!I25:I179,'Cleaned Data'!H25:H179)</f>
        <v>Central</v>
      </c>
      <c r="K25" t="str">
        <f>_xlfn.XLOOKUP(B25,'Cleaned Data'!I25:I179,'Cleaned Data'!E25:E179)</f>
        <v>Corporate</v>
      </c>
    </row>
    <row r="26" spans="1:11" x14ac:dyDescent="0.35">
      <c r="A26" t="s">
        <v>394</v>
      </c>
      <c r="B26" t="s">
        <v>276</v>
      </c>
      <c r="C26" s="2">
        <v>2.8079999999999998</v>
      </c>
      <c r="D26">
        <v>3</v>
      </c>
      <c r="E26" s="3">
        <v>0.7</v>
      </c>
      <c r="F26" s="4">
        <v>-1.9656</v>
      </c>
      <c r="G26" t="str">
        <f>_xlfn.XLOOKUP(B26,'Cleaned Data'!I26:I180,'Cleaned Data'!L26:L180)</f>
        <v>Zipper Ring Binder Pockets</v>
      </c>
      <c r="H26" t="str">
        <f>_xlfn.XLOOKUP(B26,'Cleaned Data'!I26:I180,'Cleaned Data'!J26:J180)</f>
        <v>Office Supplies</v>
      </c>
      <c r="I26" t="str">
        <f>_xlfn.XLOOKUP(B26,'Cleaned Data'!I26:I180,'Cleaned Data'!K26:K180)</f>
        <v>Binders</v>
      </c>
      <c r="J26" t="str">
        <f>_xlfn.XLOOKUP(B26,'Cleaned Data'!I26:I180,'Cleaned Data'!H26:H180)</f>
        <v>South</v>
      </c>
      <c r="K26" t="str">
        <f>_xlfn.XLOOKUP(B26,'Cleaned Data'!I26:I180,'Cleaned Data'!E26:E180)</f>
        <v>Consumer</v>
      </c>
    </row>
    <row r="27" spans="1:11" x14ac:dyDescent="0.35">
      <c r="A27" t="s">
        <v>519</v>
      </c>
      <c r="B27" t="s">
        <v>26</v>
      </c>
      <c r="C27" s="2">
        <v>153.78</v>
      </c>
      <c r="D27">
        <v>11</v>
      </c>
      <c r="E27" s="3">
        <v>0</v>
      </c>
      <c r="F27" s="4">
        <v>44.596200000000003</v>
      </c>
      <c r="G27" t="str">
        <f>_xlfn.XLOOKUP(B27,'Cleaned Data'!I27:I181,'Cleaned Data'!L27:L181)</f>
        <v>Eldon Fold 'N Roll Cart System</v>
      </c>
      <c r="H27" t="str">
        <f>_xlfn.XLOOKUP(B27,'Cleaned Data'!I27:I181,'Cleaned Data'!J27:J181)</f>
        <v>Office Supplies</v>
      </c>
      <c r="I27" t="str">
        <f>_xlfn.XLOOKUP(B27,'Cleaned Data'!I27:I181,'Cleaned Data'!K27:K181)</f>
        <v>Storage</v>
      </c>
      <c r="J27" t="str">
        <f>_xlfn.XLOOKUP(B27,'Cleaned Data'!I27:I181,'Cleaned Data'!H27:H181)</f>
        <v>West</v>
      </c>
      <c r="K27" t="str">
        <f>_xlfn.XLOOKUP(B27,'Cleaned Data'!I27:I181,'Cleaned Data'!E27:E181)</f>
        <v>Consumer</v>
      </c>
    </row>
    <row r="28" spans="1:11" x14ac:dyDescent="0.35">
      <c r="A28" t="s">
        <v>519</v>
      </c>
      <c r="B28" t="s">
        <v>451</v>
      </c>
      <c r="C28" s="2">
        <v>61.02</v>
      </c>
      <c r="D28">
        <v>3</v>
      </c>
      <c r="E28" s="3">
        <v>0</v>
      </c>
      <c r="F28" s="4">
        <v>0.61019999999999996</v>
      </c>
      <c r="G28" t="str">
        <f>_xlfn.XLOOKUP(B28,'Cleaned Data'!I28:I182,'Cleaned Data'!L28:L182)</f>
        <v>Tennsco Commercial Shelving</v>
      </c>
      <c r="H28" t="str">
        <f>_xlfn.XLOOKUP(B28,'Cleaned Data'!I28:I182,'Cleaned Data'!J28:J182)</f>
        <v>Office Supplies</v>
      </c>
      <c r="I28" t="str">
        <f>_xlfn.XLOOKUP(B28,'Cleaned Data'!I28:I182,'Cleaned Data'!K28:K182)</f>
        <v>Storage</v>
      </c>
      <c r="J28" t="str">
        <f>_xlfn.XLOOKUP(B28,'Cleaned Data'!I28:I182,'Cleaned Data'!H28:H182)</f>
        <v>West</v>
      </c>
      <c r="K28" t="str">
        <f>_xlfn.XLOOKUP(B28,'Cleaned Data'!I28:I182,'Cleaned Data'!E28:E182)</f>
        <v>Consumer</v>
      </c>
    </row>
    <row r="29" spans="1:11" x14ac:dyDescent="0.35">
      <c r="A29" t="s">
        <v>519</v>
      </c>
      <c r="B29" t="s">
        <v>513</v>
      </c>
      <c r="C29" s="2">
        <v>110.11</v>
      </c>
      <c r="D29">
        <v>7</v>
      </c>
      <c r="E29" s="3">
        <v>0</v>
      </c>
      <c r="F29" s="4">
        <v>31.931899999999999</v>
      </c>
      <c r="G29" t="str">
        <f>_xlfn.XLOOKUP(B29,'Cleaned Data'!I29:I183,'Cleaned Data'!L29:L183)</f>
        <v>Acme Galleria Hot Forged Steel Scissors with Colored Handles</v>
      </c>
      <c r="H29" t="str">
        <f>_xlfn.XLOOKUP(B29,'Cleaned Data'!I29:I183,'Cleaned Data'!J29:J183)</f>
        <v>Office Supplies</v>
      </c>
      <c r="I29" t="str">
        <f>_xlfn.XLOOKUP(B29,'Cleaned Data'!I29:I183,'Cleaned Data'!K29:K183)</f>
        <v>Supplies</v>
      </c>
      <c r="J29" t="str">
        <f>_xlfn.XLOOKUP(B29,'Cleaned Data'!I29:I183,'Cleaned Data'!H29:H183)</f>
        <v>West</v>
      </c>
      <c r="K29" t="str">
        <f>_xlfn.XLOOKUP(B29,'Cleaned Data'!I29:I183,'Cleaned Data'!E29:E183)</f>
        <v>Consumer</v>
      </c>
    </row>
    <row r="30" spans="1:11" x14ac:dyDescent="0.35">
      <c r="A30" t="s">
        <v>519</v>
      </c>
      <c r="B30" t="s">
        <v>212</v>
      </c>
      <c r="C30" s="2">
        <v>7.89</v>
      </c>
      <c r="D30">
        <v>1</v>
      </c>
      <c r="E30" s="3">
        <v>0</v>
      </c>
      <c r="F30" s="4">
        <v>3.5505</v>
      </c>
      <c r="G30" t="str">
        <f>_xlfn.XLOOKUP(B30,'Cleaned Data'!I30:I184,'Cleaned Data'!L30:L184)</f>
        <v>Staples</v>
      </c>
      <c r="H30" t="str">
        <f>_xlfn.XLOOKUP(B30,'Cleaned Data'!I30:I184,'Cleaned Data'!J30:J184)</f>
        <v>Office Supplies</v>
      </c>
      <c r="I30" t="str">
        <f>_xlfn.XLOOKUP(B30,'Cleaned Data'!I30:I184,'Cleaned Data'!K30:K184)</f>
        <v>Fasteners</v>
      </c>
      <c r="J30" t="str">
        <f>_xlfn.XLOOKUP(B30,'Cleaned Data'!I30:I184,'Cleaned Data'!H30:H184)</f>
        <v>West</v>
      </c>
      <c r="K30" t="str">
        <f>_xlfn.XLOOKUP(B30,'Cleaned Data'!I30:I184,'Cleaned Data'!E30:E184)</f>
        <v>Consumer</v>
      </c>
    </row>
    <row r="31" spans="1:11" x14ac:dyDescent="0.35">
      <c r="A31" t="s">
        <v>408</v>
      </c>
      <c r="B31" t="s">
        <v>410</v>
      </c>
      <c r="C31" s="2">
        <v>892.98</v>
      </c>
      <c r="D31">
        <v>2</v>
      </c>
      <c r="E31" s="3">
        <v>0</v>
      </c>
      <c r="F31" s="4">
        <v>80.368200000000002</v>
      </c>
      <c r="G31" t="str">
        <f>_xlfn.XLOOKUP(B31,'Cleaned Data'!I31:I185,'Cleaned Data'!L31:L185)</f>
        <v>Balt Solid Wood Round Tables</v>
      </c>
      <c r="H31" t="str">
        <f>_xlfn.XLOOKUP(B31,'Cleaned Data'!I31:I185,'Cleaned Data'!J31:J185)</f>
        <v>Furniture</v>
      </c>
      <c r="I31" t="str">
        <f>_xlfn.XLOOKUP(B31,'Cleaned Data'!I31:I185,'Cleaned Data'!K31:K185)</f>
        <v>Tables</v>
      </c>
      <c r="J31" t="str">
        <f>_xlfn.XLOOKUP(B31,'Cleaned Data'!I31:I185,'Cleaned Data'!H31:H185)</f>
        <v>West</v>
      </c>
      <c r="K31" t="str">
        <f>_xlfn.XLOOKUP(B31,'Cleaned Data'!I31:I185,'Cleaned Data'!E31:E185)</f>
        <v>Corporate</v>
      </c>
    </row>
    <row r="32" spans="1:11" x14ac:dyDescent="0.35">
      <c r="A32" t="s">
        <v>517</v>
      </c>
      <c r="B32" t="s">
        <v>223</v>
      </c>
      <c r="C32" s="2">
        <v>274.49099999999999</v>
      </c>
      <c r="D32">
        <v>3</v>
      </c>
      <c r="E32" s="3">
        <v>0.7</v>
      </c>
      <c r="F32" s="4">
        <v>-228.74250000000001</v>
      </c>
      <c r="G32" t="str">
        <f>_xlfn.XLOOKUP(B32,'Cleaned Data'!I32:I186,'Cleaned Data'!L32:L186)</f>
        <v>Ibico Hi-Tech Manual Binding System</v>
      </c>
      <c r="H32" t="str">
        <f>_xlfn.XLOOKUP(B32,'Cleaned Data'!I32:I186,'Cleaned Data'!J32:J186)</f>
        <v>Office Supplies</v>
      </c>
      <c r="I32" t="str">
        <f>_xlfn.XLOOKUP(B32,'Cleaned Data'!I32:I186,'Cleaned Data'!K32:K186)</f>
        <v>Binders</v>
      </c>
      <c r="J32" t="str">
        <f>_xlfn.XLOOKUP(B32,'Cleaned Data'!I32:I186,'Cleaned Data'!H32:H186)</f>
        <v>East</v>
      </c>
      <c r="K32" t="str">
        <f>_xlfn.XLOOKUP(B32,'Cleaned Data'!I32:I186,'Cleaned Data'!E32:E186)</f>
        <v>Consumer</v>
      </c>
    </row>
    <row r="33" spans="1:11" x14ac:dyDescent="0.35">
      <c r="A33" t="s">
        <v>372</v>
      </c>
      <c r="B33" t="s">
        <v>103</v>
      </c>
      <c r="C33" s="2">
        <v>40.08</v>
      </c>
      <c r="D33">
        <v>6</v>
      </c>
      <c r="E33" s="3">
        <v>0</v>
      </c>
      <c r="F33" s="4">
        <v>19.238399999999999</v>
      </c>
      <c r="G33" t="str">
        <f>_xlfn.XLOOKUP(B33,'Cleaned Data'!I33:I187,'Cleaned Data'!L33:L187)</f>
        <v>Xerox 195</v>
      </c>
      <c r="H33" t="str">
        <f>_xlfn.XLOOKUP(B33,'Cleaned Data'!I33:I187,'Cleaned Data'!J33:J187)</f>
        <v>Office Supplies</v>
      </c>
      <c r="I33" t="str">
        <f>_xlfn.XLOOKUP(B33,'Cleaned Data'!I33:I187,'Cleaned Data'!K33:K187)</f>
        <v>Paper</v>
      </c>
      <c r="J33" t="str">
        <f>_xlfn.XLOOKUP(B33,'Cleaned Data'!I33:I187,'Cleaned Data'!H33:H187)</f>
        <v>East</v>
      </c>
      <c r="K33" t="str">
        <f>_xlfn.XLOOKUP(B33,'Cleaned Data'!I33:I187,'Cleaned Data'!E33:E187)</f>
        <v>Home Office</v>
      </c>
    </row>
    <row r="34" spans="1:11" x14ac:dyDescent="0.35">
      <c r="A34" t="s">
        <v>372</v>
      </c>
      <c r="B34" t="s">
        <v>373</v>
      </c>
      <c r="C34" s="2">
        <v>37.68</v>
      </c>
      <c r="D34">
        <v>2</v>
      </c>
      <c r="E34" s="3">
        <v>0</v>
      </c>
      <c r="F34" s="4">
        <v>15.8256</v>
      </c>
      <c r="G34" t="str">
        <f>_xlfn.XLOOKUP(B34,'Cleaned Data'!I34:I188,'Cleaned Data'!L34:L188)</f>
        <v>Flat Face Poster Frame</v>
      </c>
      <c r="H34" t="str">
        <f>_xlfn.XLOOKUP(B34,'Cleaned Data'!I34:I188,'Cleaned Data'!J34:J188)</f>
        <v>Furniture</v>
      </c>
      <c r="I34" t="str">
        <f>_xlfn.XLOOKUP(B34,'Cleaned Data'!I34:I188,'Cleaned Data'!K34:K188)</f>
        <v>Furnishings</v>
      </c>
      <c r="J34" t="str">
        <f>_xlfn.XLOOKUP(B34,'Cleaned Data'!I34:I188,'Cleaned Data'!H34:H188)</f>
        <v>East</v>
      </c>
      <c r="K34" t="str">
        <f>_xlfn.XLOOKUP(B34,'Cleaned Data'!I34:I188,'Cleaned Data'!E34:E188)</f>
        <v>Home Office</v>
      </c>
    </row>
    <row r="35" spans="1:11" x14ac:dyDescent="0.35">
      <c r="A35" t="s">
        <v>503</v>
      </c>
      <c r="B35" t="s">
        <v>376</v>
      </c>
      <c r="C35" s="2">
        <v>9.7799999999999994</v>
      </c>
      <c r="D35">
        <v>1</v>
      </c>
      <c r="E35" s="3">
        <v>0</v>
      </c>
      <c r="F35" s="4">
        <v>4.8899999999999997</v>
      </c>
      <c r="G35" t="str">
        <f>_xlfn.XLOOKUP(B35,'Cleaned Data'!I35:I189,'Cleaned Data'!L35:L189)</f>
        <v>Staple envelope</v>
      </c>
      <c r="H35" t="str">
        <f>_xlfn.XLOOKUP(B35,'Cleaned Data'!I35:I189,'Cleaned Data'!J35:J189)</f>
        <v>Office Supplies</v>
      </c>
      <c r="I35" t="str">
        <f>_xlfn.XLOOKUP(B35,'Cleaned Data'!I35:I189,'Cleaned Data'!K35:K189)</f>
        <v>Envelopes</v>
      </c>
      <c r="J35" t="str">
        <f>_xlfn.XLOOKUP(B35,'Cleaned Data'!I35:I189,'Cleaned Data'!H35:H189)</f>
        <v>West</v>
      </c>
      <c r="K35" t="str">
        <f>_xlfn.XLOOKUP(B35,'Cleaned Data'!I35:I189,'Cleaned Data'!E35:E189)</f>
        <v>Corporate</v>
      </c>
    </row>
    <row r="36" spans="1:11" x14ac:dyDescent="0.35">
      <c r="A36" t="s">
        <v>532</v>
      </c>
      <c r="B36" t="s">
        <v>262</v>
      </c>
      <c r="C36" s="2">
        <v>760.98</v>
      </c>
      <c r="D36">
        <v>5</v>
      </c>
      <c r="E36" s="3">
        <v>0.8</v>
      </c>
      <c r="F36" s="4">
        <v>-1141.47</v>
      </c>
      <c r="G36" t="str">
        <f>_xlfn.XLOOKUP(B36,'Cleaned Data'!I36:I190,'Cleaned Data'!L36:L190)</f>
        <v>GBC Ibimaster 500 Manual ProClick Binding System</v>
      </c>
      <c r="H36" t="str">
        <f>_xlfn.XLOOKUP(B36,'Cleaned Data'!I36:I190,'Cleaned Data'!J36:J190)</f>
        <v>Office Supplies</v>
      </c>
      <c r="I36" t="str">
        <f>_xlfn.XLOOKUP(B36,'Cleaned Data'!I36:I190,'Cleaned Data'!K36:K190)</f>
        <v>Binders</v>
      </c>
      <c r="J36" t="str">
        <f>_xlfn.XLOOKUP(B36,'Cleaned Data'!I36:I190,'Cleaned Data'!H36:H190)</f>
        <v>Central</v>
      </c>
      <c r="K36" t="str">
        <f>_xlfn.XLOOKUP(B36,'Cleaned Data'!I36:I190,'Cleaned Data'!E36:E190)</f>
        <v>Corporate</v>
      </c>
    </row>
    <row r="37" spans="1:11" x14ac:dyDescent="0.35">
      <c r="A37" t="s">
        <v>510</v>
      </c>
      <c r="B37" t="s">
        <v>417</v>
      </c>
      <c r="C37" s="2">
        <v>32.4</v>
      </c>
      <c r="D37">
        <v>5</v>
      </c>
      <c r="E37" s="3">
        <v>0</v>
      </c>
      <c r="F37" s="4">
        <v>15.552</v>
      </c>
      <c r="G37" t="str">
        <f>_xlfn.XLOOKUP(B37,'Cleaned Data'!I37:I191,'Cleaned Data'!L37:L191)</f>
        <v>Xerox 23</v>
      </c>
      <c r="H37" t="str">
        <f>_xlfn.XLOOKUP(B37,'Cleaned Data'!I37:I191,'Cleaned Data'!J37:J191)</f>
        <v>Office Supplies</v>
      </c>
      <c r="I37" t="str">
        <f>_xlfn.XLOOKUP(B37,'Cleaned Data'!I37:I191,'Cleaned Data'!K37:K191)</f>
        <v>Paper</v>
      </c>
      <c r="J37" t="str">
        <f>_xlfn.XLOOKUP(B37,'Cleaned Data'!I37:I191,'Cleaned Data'!H37:H191)</f>
        <v>Central</v>
      </c>
      <c r="K37" t="str">
        <f>_xlfn.XLOOKUP(B37,'Cleaned Data'!I37:I191,'Cleaned Data'!E37:E191)</f>
        <v>Corporate</v>
      </c>
    </row>
    <row r="38" spans="1:11" x14ac:dyDescent="0.35">
      <c r="A38" t="s">
        <v>510</v>
      </c>
      <c r="B38" t="s">
        <v>499</v>
      </c>
      <c r="C38" s="2">
        <v>209.94</v>
      </c>
      <c r="D38">
        <v>6</v>
      </c>
      <c r="E38" s="3">
        <v>0</v>
      </c>
      <c r="F38" s="4">
        <v>54.584400000000002</v>
      </c>
      <c r="G38" t="str">
        <f>_xlfn.XLOOKUP(B38,'Cleaned Data'!I38:I192,'Cleaned Data'!L38:L192)</f>
        <v>Hunt Boston Vacuum Mount KS Pencil Sharpener</v>
      </c>
      <c r="H38" t="str">
        <f>_xlfn.XLOOKUP(B38,'Cleaned Data'!I38:I192,'Cleaned Data'!J38:J192)</f>
        <v>Office Supplies</v>
      </c>
      <c r="I38" t="str">
        <f>_xlfn.XLOOKUP(B38,'Cleaned Data'!I38:I192,'Cleaned Data'!K38:K192)</f>
        <v>Art</v>
      </c>
      <c r="J38" t="str">
        <f>_xlfn.XLOOKUP(B38,'Cleaned Data'!I38:I192,'Cleaned Data'!H38:H192)</f>
        <v>Central</v>
      </c>
      <c r="K38" t="str">
        <f>_xlfn.XLOOKUP(B38,'Cleaned Data'!I38:I192,'Cleaned Data'!E38:E192)</f>
        <v>Corporate</v>
      </c>
    </row>
    <row r="39" spans="1:11" x14ac:dyDescent="0.35">
      <c r="A39" t="s">
        <v>510</v>
      </c>
      <c r="B39" t="s">
        <v>198</v>
      </c>
      <c r="C39" s="2">
        <v>4164.05</v>
      </c>
      <c r="D39">
        <v>5</v>
      </c>
      <c r="E39" s="3">
        <v>0</v>
      </c>
      <c r="F39" s="4">
        <v>83.281000000000006</v>
      </c>
      <c r="G39" t="str">
        <f>_xlfn.XLOOKUP(B39,'Cleaned Data'!I39:I193,'Cleaned Data'!L39:L193)</f>
        <v>Martin Yale Chadless Opener Electric Letter Opener</v>
      </c>
      <c r="H39" t="str">
        <f>_xlfn.XLOOKUP(B39,'Cleaned Data'!I39:I193,'Cleaned Data'!J39:J193)</f>
        <v>Office Supplies</v>
      </c>
      <c r="I39" t="str">
        <f>_xlfn.XLOOKUP(B39,'Cleaned Data'!I39:I193,'Cleaned Data'!K39:K193)</f>
        <v>Supplies</v>
      </c>
      <c r="J39" t="str">
        <f>_xlfn.XLOOKUP(B39,'Cleaned Data'!I39:I193,'Cleaned Data'!H39:H193)</f>
        <v>Central</v>
      </c>
      <c r="K39" t="str">
        <f>_xlfn.XLOOKUP(B39,'Cleaned Data'!I39:I193,'Cleaned Data'!E39:E193)</f>
        <v>Corporate</v>
      </c>
    </row>
    <row r="40" spans="1:11" x14ac:dyDescent="0.35">
      <c r="A40" t="s">
        <v>510</v>
      </c>
      <c r="B40" t="s">
        <v>454</v>
      </c>
      <c r="C40" s="2">
        <v>212.94</v>
      </c>
      <c r="D40">
        <v>3</v>
      </c>
      <c r="E40" s="3">
        <v>0</v>
      </c>
      <c r="F40" s="4">
        <v>53.234999999999999</v>
      </c>
      <c r="G40" t="str">
        <f>_xlfn.XLOOKUP(B40,'Cleaned Data'!I40:I194,'Cleaned Data'!L40:L194)</f>
        <v>Hon Metal Bookcases, Black</v>
      </c>
      <c r="H40" t="str">
        <f>_xlfn.XLOOKUP(B40,'Cleaned Data'!I40:I194,'Cleaned Data'!J40:J194)</f>
        <v>Furniture</v>
      </c>
      <c r="I40" t="str">
        <f>_xlfn.XLOOKUP(B40,'Cleaned Data'!I40:I194,'Cleaned Data'!K40:K194)</f>
        <v>Bookcases</v>
      </c>
      <c r="J40" t="str">
        <f>_xlfn.XLOOKUP(B40,'Cleaned Data'!I40:I194,'Cleaned Data'!H40:H194)</f>
        <v>Central</v>
      </c>
      <c r="K40" t="str">
        <f>_xlfn.XLOOKUP(B40,'Cleaned Data'!I40:I194,'Cleaned Data'!E40:E194)</f>
        <v>Corporate</v>
      </c>
    </row>
    <row r="41" spans="1:11" x14ac:dyDescent="0.35">
      <c r="A41" t="s">
        <v>313</v>
      </c>
      <c r="B41" t="s">
        <v>96</v>
      </c>
      <c r="C41" s="2">
        <v>21.744</v>
      </c>
      <c r="D41">
        <v>1</v>
      </c>
      <c r="E41" s="3">
        <v>0.2</v>
      </c>
      <c r="F41" s="4">
        <v>7.3385999999999996</v>
      </c>
      <c r="G41" t="str">
        <f>_xlfn.XLOOKUP(B41,'Cleaned Data'!I41:I195,'Cleaned Data'!L41:L195)</f>
        <v>Tyvek  Top-Opening Peel &amp; Seel Envelopes, Plain White</v>
      </c>
      <c r="H41" t="str">
        <f>_xlfn.XLOOKUP(B41,'Cleaned Data'!I41:I195,'Cleaned Data'!J41:J195)</f>
        <v>Office Supplies</v>
      </c>
      <c r="I41" t="str">
        <f>_xlfn.XLOOKUP(B41,'Cleaned Data'!I41:I195,'Cleaned Data'!K41:K195)</f>
        <v>Envelopes</v>
      </c>
      <c r="J41" t="str">
        <f>_xlfn.XLOOKUP(B41,'Cleaned Data'!I41:I195,'Cleaned Data'!H41:H195)</f>
        <v>South</v>
      </c>
      <c r="K41" t="str">
        <f>_xlfn.XLOOKUP(B41,'Cleaned Data'!I41:I195,'Cleaned Data'!E41:E195)</f>
        <v>Consumer</v>
      </c>
    </row>
    <row r="42" spans="1:11" x14ac:dyDescent="0.35">
      <c r="A42" t="s">
        <v>313</v>
      </c>
      <c r="B42" t="s">
        <v>314</v>
      </c>
      <c r="C42" s="2">
        <v>7.92</v>
      </c>
      <c r="D42">
        <v>5</v>
      </c>
      <c r="E42" s="3">
        <v>0.2</v>
      </c>
      <c r="F42" s="4">
        <v>0.69299999999999995</v>
      </c>
      <c r="G42" t="str">
        <f>_xlfn.XLOOKUP(B42,'Cleaned Data'!I42:I196,'Cleaned Data'!L42:L196)</f>
        <v>Sannysis Cute Owl Design Soft Skin Case Cover for Samsung Galaxy S4</v>
      </c>
      <c r="H42" t="str">
        <f>_xlfn.XLOOKUP(B42,'Cleaned Data'!I42:I196,'Cleaned Data'!J42:J196)</f>
        <v>Technology</v>
      </c>
      <c r="I42" t="str">
        <f>_xlfn.XLOOKUP(B42,'Cleaned Data'!I42:I196,'Cleaned Data'!K42:K196)</f>
        <v>Phones</v>
      </c>
      <c r="J42" t="str">
        <f>_xlfn.XLOOKUP(B42,'Cleaned Data'!I42:I196,'Cleaned Data'!H42:H196)</f>
        <v>South</v>
      </c>
      <c r="K42" t="str">
        <f>_xlfn.XLOOKUP(B42,'Cleaned Data'!I42:I196,'Cleaned Data'!E42:E196)</f>
        <v>Consumer</v>
      </c>
    </row>
    <row r="43" spans="1:11" x14ac:dyDescent="0.35">
      <c r="A43" t="s">
        <v>475</v>
      </c>
      <c r="B43" t="s">
        <v>57</v>
      </c>
      <c r="C43" s="2">
        <v>169.06399999999999</v>
      </c>
      <c r="D43">
        <v>7</v>
      </c>
      <c r="E43" s="3">
        <v>0.2</v>
      </c>
      <c r="F43" s="4">
        <v>-14.793100000000001</v>
      </c>
      <c r="G43" t="str">
        <f>_xlfn.XLOOKUP(B43,'Cleaned Data'!I43:I197,'Cleaned Data'!L43:L197)</f>
        <v>Imation 8GB Mini TravelDrive USB 2.0 Flash Drive</v>
      </c>
      <c r="H43" t="str">
        <f>_xlfn.XLOOKUP(B43,'Cleaned Data'!I43:I197,'Cleaned Data'!J43:J197)</f>
        <v>Technology</v>
      </c>
      <c r="I43" t="str">
        <f>_xlfn.XLOOKUP(B43,'Cleaned Data'!I43:I197,'Cleaned Data'!K43:K197)</f>
        <v>Accessories</v>
      </c>
      <c r="J43" t="str">
        <f>_xlfn.XLOOKUP(B43,'Cleaned Data'!I43:I197,'Cleaned Data'!H43:H197)</f>
        <v>West</v>
      </c>
      <c r="K43" t="str">
        <f>_xlfn.XLOOKUP(B43,'Cleaned Data'!I43:I197,'Cleaned Data'!E43:E197)</f>
        <v>Corporate</v>
      </c>
    </row>
    <row r="44" spans="1:11" x14ac:dyDescent="0.35">
      <c r="A44" t="s">
        <v>475</v>
      </c>
      <c r="B44" t="s">
        <v>392</v>
      </c>
      <c r="C44" s="2">
        <v>168.624</v>
      </c>
      <c r="D44">
        <v>9</v>
      </c>
      <c r="E44" s="3">
        <v>0.2</v>
      </c>
      <c r="F44" s="4">
        <v>14.7546</v>
      </c>
      <c r="G44" t="str">
        <f>_xlfn.XLOOKUP(B44,'Cleaned Data'!I44:I198,'Cleaned Data'!L44:L198)</f>
        <v>Mobile Personal File Cube</v>
      </c>
      <c r="H44" t="str">
        <f>_xlfn.XLOOKUP(B44,'Cleaned Data'!I44:I198,'Cleaned Data'!J44:J198)</f>
        <v>Office Supplies</v>
      </c>
      <c r="I44" t="str">
        <f>_xlfn.XLOOKUP(B44,'Cleaned Data'!I44:I198,'Cleaned Data'!K44:K198)</f>
        <v>Storage</v>
      </c>
      <c r="J44" t="str">
        <f>_xlfn.XLOOKUP(B44,'Cleaned Data'!I44:I198,'Cleaned Data'!H44:H198)</f>
        <v>West</v>
      </c>
      <c r="K44" t="str">
        <f>_xlfn.XLOOKUP(B44,'Cleaned Data'!I44:I198,'Cleaned Data'!E44:E198)</f>
        <v>Corporate</v>
      </c>
    </row>
    <row r="45" spans="1:11" x14ac:dyDescent="0.35">
      <c r="A45" t="s">
        <v>483</v>
      </c>
      <c r="B45" t="s">
        <v>226</v>
      </c>
      <c r="C45" s="2">
        <v>18.335999999999999</v>
      </c>
      <c r="D45">
        <v>3</v>
      </c>
      <c r="E45" s="3">
        <v>0.2</v>
      </c>
      <c r="F45" s="4">
        <v>6.6467999999999998</v>
      </c>
      <c r="G45" t="str">
        <f>_xlfn.XLOOKUP(B45,'Cleaned Data'!I45:I199,'Cleaned Data'!L45:L199)</f>
        <v>#10- 4 1/8" x 9 1/2" Security-Tint Envelopes</v>
      </c>
      <c r="H45" t="str">
        <f>_xlfn.XLOOKUP(B45,'Cleaned Data'!I45:I199,'Cleaned Data'!J45:J199)</f>
        <v>Office Supplies</v>
      </c>
      <c r="I45" t="str">
        <f>_xlfn.XLOOKUP(B45,'Cleaned Data'!I45:I199,'Cleaned Data'!K45:K199)</f>
        <v>Envelopes</v>
      </c>
      <c r="J45" t="str">
        <f>_xlfn.XLOOKUP(B45,'Cleaned Data'!I45:I199,'Cleaned Data'!H45:H199)</f>
        <v>South</v>
      </c>
      <c r="K45" t="str">
        <f>_xlfn.XLOOKUP(B45,'Cleaned Data'!I45:I199,'Cleaned Data'!E45:E199)</f>
        <v>Consumer</v>
      </c>
    </row>
    <row r="46" spans="1:11" x14ac:dyDescent="0.35">
      <c r="A46" t="s">
        <v>483</v>
      </c>
      <c r="B46" t="s">
        <v>272</v>
      </c>
      <c r="C46" s="2">
        <v>36.287999999999997</v>
      </c>
      <c r="D46">
        <v>7</v>
      </c>
      <c r="E46" s="3">
        <v>0.2</v>
      </c>
      <c r="F46" s="4">
        <v>12.700799999999999</v>
      </c>
      <c r="G46" t="str">
        <f>_xlfn.XLOOKUP(B46,'Cleaned Data'!I46:I200,'Cleaned Data'!L46:L200)</f>
        <v>Xerox 1931</v>
      </c>
      <c r="H46" t="str">
        <f>_xlfn.XLOOKUP(B46,'Cleaned Data'!I46:I200,'Cleaned Data'!J46:J200)</f>
        <v>Office Supplies</v>
      </c>
      <c r="I46" t="str">
        <f>_xlfn.XLOOKUP(B46,'Cleaned Data'!I46:I200,'Cleaned Data'!K46:K200)</f>
        <v>Paper</v>
      </c>
      <c r="J46" t="str">
        <f>_xlfn.XLOOKUP(B46,'Cleaned Data'!I46:I200,'Cleaned Data'!H46:H200)</f>
        <v>South</v>
      </c>
      <c r="K46" t="str">
        <f>_xlfn.XLOOKUP(B46,'Cleaned Data'!I46:I200,'Cleaned Data'!E46:E200)</f>
        <v>Consumer</v>
      </c>
    </row>
    <row r="47" spans="1:11" x14ac:dyDescent="0.35">
      <c r="A47" t="s">
        <v>483</v>
      </c>
      <c r="B47" t="s">
        <v>174</v>
      </c>
      <c r="C47" s="2">
        <v>111.98399999999999</v>
      </c>
      <c r="D47">
        <v>2</v>
      </c>
      <c r="E47" s="3">
        <v>0.2</v>
      </c>
      <c r="F47" s="4">
        <v>6.9989999999999997</v>
      </c>
      <c r="G47" t="str">
        <f>_xlfn.XLOOKUP(B47,'Cleaned Data'!I47:I201,'Cleaned Data'!L47:L201)</f>
        <v>iHome FM Clock Radio with Lightning Dock</v>
      </c>
      <c r="H47" t="str">
        <f>_xlfn.XLOOKUP(B47,'Cleaned Data'!I47:I201,'Cleaned Data'!J47:J201)</f>
        <v>Technology</v>
      </c>
      <c r="I47" t="str">
        <f>_xlfn.XLOOKUP(B47,'Cleaned Data'!I47:I201,'Cleaned Data'!K47:K201)</f>
        <v>Phones</v>
      </c>
      <c r="J47" t="str">
        <f>_xlfn.XLOOKUP(B47,'Cleaned Data'!I47:I201,'Cleaned Data'!H47:H201)</f>
        <v>South</v>
      </c>
      <c r="K47" t="str">
        <f>_xlfn.XLOOKUP(B47,'Cleaned Data'!I47:I201,'Cleaned Data'!E47:E201)</f>
        <v>Consumer</v>
      </c>
    </row>
    <row r="48" spans="1:11" x14ac:dyDescent="0.35">
      <c r="A48" t="s">
        <v>483</v>
      </c>
      <c r="B48" t="s">
        <v>430</v>
      </c>
      <c r="C48" s="2">
        <v>5.97</v>
      </c>
      <c r="D48">
        <v>5</v>
      </c>
      <c r="E48" s="3">
        <v>0.7</v>
      </c>
      <c r="F48" s="4">
        <v>-4.577</v>
      </c>
      <c r="G48" t="str">
        <f>_xlfn.XLOOKUP(B48,'Cleaned Data'!I48:I202,'Cleaned Data'!L48:L202)</f>
        <v>Ibico Presentation Index for Binding Systems</v>
      </c>
      <c r="H48" t="str">
        <f>_xlfn.XLOOKUP(B48,'Cleaned Data'!I48:I202,'Cleaned Data'!J48:J202)</f>
        <v>Office Supplies</v>
      </c>
      <c r="I48" t="str">
        <f>_xlfn.XLOOKUP(B48,'Cleaned Data'!I48:I202,'Cleaned Data'!K48:K202)</f>
        <v>Binders</v>
      </c>
      <c r="J48" t="str">
        <f>_xlfn.XLOOKUP(B48,'Cleaned Data'!I48:I202,'Cleaned Data'!H48:H202)</f>
        <v>South</v>
      </c>
      <c r="K48" t="str">
        <f>_xlfn.XLOOKUP(B48,'Cleaned Data'!I48:I202,'Cleaned Data'!E48:E202)</f>
        <v>Consumer</v>
      </c>
    </row>
    <row r="49" spans="1:11" x14ac:dyDescent="0.35">
      <c r="A49" t="s">
        <v>483</v>
      </c>
      <c r="B49" t="s">
        <v>297</v>
      </c>
      <c r="C49" s="2">
        <v>2.508</v>
      </c>
      <c r="D49">
        <v>2</v>
      </c>
      <c r="E49" s="3">
        <v>0.7</v>
      </c>
      <c r="F49" s="4">
        <v>-1.8391999999999999</v>
      </c>
      <c r="G49" t="str">
        <f>_xlfn.XLOOKUP(B49,'Cleaned Data'!I49:I203,'Cleaned Data'!L49:L203)</f>
        <v>Avery Durable Slant Ring Binders With Label Holder</v>
      </c>
      <c r="H49" t="str">
        <f>_xlfn.XLOOKUP(B49,'Cleaned Data'!I49:I203,'Cleaned Data'!J49:J203)</f>
        <v>Office Supplies</v>
      </c>
      <c r="I49" t="str">
        <f>_xlfn.XLOOKUP(B49,'Cleaned Data'!I49:I203,'Cleaned Data'!K49:K203)</f>
        <v>Binders</v>
      </c>
      <c r="J49" t="str">
        <f>_xlfn.XLOOKUP(B49,'Cleaned Data'!I49:I203,'Cleaned Data'!H49:H203)</f>
        <v>South</v>
      </c>
      <c r="K49" t="str">
        <f>_xlfn.XLOOKUP(B49,'Cleaned Data'!I49:I203,'Cleaned Data'!E49:E203)</f>
        <v>Consumer</v>
      </c>
    </row>
    <row r="50" spans="1:11" x14ac:dyDescent="0.35">
      <c r="A50" t="s">
        <v>515</v>
      </c>
      <c r="B50" t="s">
        <v>480</v>
      </c>
      <c r="C50" s="2">
        <v>154.9</v>
      </c>
      <c r="D50">
        <v>5</v>
      </c>
      <c r="E50" s="3">
        <v>0</v>
      </c>
      <c r="F50" s="4">
        <v>69.704999999999998</v>
      </c>
      <c r="G50" t="str">
        <f>_xlfn.XLOOKUP(B50,'Cleaned Data'!I50:I204,'Cleaned Data'!L50:L204)</f>
        <v>Xerox 19</v>
      </c>
      <c r="H50" t="str">
        <f>_xlfn.XLOOKUP(B50,'Cleaned Data'!I50:I204,'Cleaned Data'!J50:J204)</f>
        <v>Office Supplies</v>
      </c>
      <c r="I50" t="str">
        <f>_xlfn.XLOOKUP(B50,'Cleaned Data'!I50:I204,'Cleaned Data'!K50:K204)</f>
        <v>Paper</v>
      </c>
      <c r="J50" t="str">
        <f>_xlfn.XLOOKUP(B50,'Cleaned Data'!I50:I204,'Cleaned Data'!H50:H204)</f>
        <v>West</v>
      </c>
      <c r="K50" t="str">
        <f>_xlfn.XLOOKUP(B50,'Cleaned Data'!I50:I204,'Cleaned Data'!E50:E204)</f>
        <v>Consumer</v>
      </c>
    </row>
    <row r="51" spans="1:11" x14ac:dyDescent="0.35">
      <c r="A51" t="s">
        <v>540</v>
      </c>
      <c r="B51" t="s">
        <v>109</v>
      </c>
      <c r="C51" s="2">
        <v>67.400000000000006</v>
      </c>
      <c r="D51">
        <v>5</v>
      </c>
      <c r="E51" s="3">
        <v>0</v>
      </c>
      <c r="F51" s="4">
        <v>17.524000000000001</v>
      </c>
      <c r="G51" t="str">
        <f>_xlfn.XLOOKUP(B51,'Cleaned Data'!I51:I205,'Cleaned Data'!L51:L205)</f>
        <v>Tenex Personal Project File with Scoop Front Design, Black</v>
      </c>
      <c r="H51" t="str">
        <f>_xlfn.XLOOKUP(B51,'Cleaned Data'!I51:I205,'Cleaned Data'!J51:J205)</f>
        <v>Office Supplies</v>
      </c>
      <c r="I51" t="str">
        <f>_xlfn.XLOOKUP(B51,'Cleaned Data'!I51:I205,'Cleaned Data'!K51:K205)</f>
        <v>Storage</v>
      </c>
      <c r="J51" t="str">
        <f>_xlfn.XLOOKUP(B51,'Cleaned Data'!I51:I205,'Cleaned Data'!H51:H205)</f>
        <v>Central</v>
      </c>
      <c r="K51" t="str">
        <f>_xlfn.XLOOKUP(B51,'Cleaned Data'!I51:I205,'Cleaned Data'!E51:E205)</f>
        <v>Home Office</v>
      </c>
    </row>
    <row r="52" spans="1:11" x14ac:dyDescent="0.35">
      <c r="A52" t="s">
        <v>540</v>
      </c>
      <c r="B52" t="s">
        <v>134</v>
      </c>
      <c r="C52" s="2">
        <v>2.52</v>
      </c>
      <c r="D52">
        <v>2</v>
      </c>
      <c r="E52" s="3">
        <v>0</v>
      </c>
      <c r="F52" s="4">
        <v>0.1008</v>
      </c>
      <c r="G52" t="str">
        <f>_xlfn.XLOOKUP(B52,'Cleaned Data'!I52:I206,'Cleaned Data'!L52:L206)</f>
        <v>Bagged Rubber Bands</v>
      </c>
      <c r="H52" t="str">
        <f>_xlfn.XLOOKUP(B52,'Cleaned Data'!I52:I206,'Cleaned Data'!J52:J206)</f>
        <v>Office Supplies</v>
      </c>
      <c r="I52" t="str">
        <f>_xlfn.XLOOKUP(B52,'Cleaned Data'!I52:I206,'Cleaned Data'!K52:K206)</f>
        <v>Fasteners</v>
      </c>
      <c r="J52" t="str">
        <f>_xlfn.XLOOKUP(B52,'Cleaned Data'!I52:I206,'Cleaned Data'!H52:H206)</f>
        <v>Central</v>
      </c>
      <c r="K52" t="str">
        <f>_xlfn.XLOOKUP(B52,'Cleaned Data'!I52:I206,'Cleaned Data'!E52:E206)</f>
        <v>Home Office</v>
      </c>
    </row>
    <row r="53" spans="1:11" x14ac:dyDescent="0.35">
      <c r="A53" t="s">
        <v>540</v>
      </c>
      <c r="B53" t="s">
        <v>353</v>
      </c>
      <c r="C53" s="2">
        <v>67.8</v>
      </c>
      <c r="D53">
        <v>4</v>
      </c>
      <c r="E53" s="3">
        <v>0</v>
      </c>
      <c r="F53" s="4">
        <v>1.3560000000000001</v>
      </c>
      <c r="G53" t="str">
        <f>_xlfn.XLOOKUP(B53,'Cleaned Data'!I53:I207,'Cleaned Data'!L53:L207)</f>
        <v>ARKON Windshield Dashboard Air Vent Car Mount Holder</v>
      </c>
      <c r="H53" t="str">
        <f>_xlfn.XLOOKUP(B53,'Cleaned Data'!I53:I207,'Cleaned Data'!J53:J207)</f>
        <v>Technology</v>
      </c>
      <c r="I53" t="str">
        <f>_xlfn.XLOOKUP(B53,'Cleaned Data'!I53:I207,'Cleaned Data'!K53:K207)</f>
        <v>Phones</v>
      </c>
      <c r="J53" t="str">
        <f>_xlfn.XLOOKUP(B53,'Cleaned Data'!I53:I207,'Cleaned Data'!H53:H207)</f>
        <v>Central</v>
      </c>
      <c r="K53" t="str">
        <f>_xlfn.XLOOKUP(B53,'Cleaned Data'!I53:I207,'Cleaned Data'!E53:E207)</f>
        <v>Home Office</v>
      </c>
    </row>
    <row r="54" spans="1:11" x14ac:dyDescent="0.35">
      <c r="A54" t="s">
        <v>540</v>
      </c>
      <c r="B54" t="s">
        <v>386</v>
      </c>
      <c r="C54" s="2">
        <v>18.760000000000002</v>
      </c>
      <c r="D54">
        <v>2</v>
      </c>
      <c r="E54" s="3">
        <v>0</v>
      </c>
      <c r="F54" s="4">
        <v>5.2527999999999997</v>
      </c>
      <c r="G54" t="str">
        <f>_xlfn.XLOOKUP(B54,'Cleaned Data'!I54:I208,'Cleaned Data'!L54:L208)</f>
        <v>Staple magnet</v>
      </c>
      <c r="H54" t="str">
        <f>_xlfn.XLOOKUP(B54,'Cleaned Data'!I54:I208,'Cleaned Data'!J54:J208)</f>
        <v>Office Supplies</v>
      </c>
      <c r="I54" t="str">
        <f>_xlfn.XLOOKUP(B54,'Cleaned Data'!I54:I208,'Cleaned Data'!K54:K208)</f>
        <v>Storage</v>
      </c>
      <c r="J54" t="str">
        <f>_xlfn.XLOOKUP(B54,'Cleaned Data'!I54:I208,'Cleaned Data'!H54:H208)</f>
        <v>Central</v>
      </c>
      <c r="K54" t="str">
        <f>_xlfn.XLOOKUP(B54,'Cleaned Data'!I54:I208,'Cleaned Data'!E54:E208)</f>
        <v>Home Office</v>
      </c>
    </row>
    <row r="55" spans="1:11" x14ac:dyDescent="0.35">
      <c r="A55" t="s">
        <v>540</v>
      </c>
      <c r="B55" t="s">
        <v>172</v>
      </c>
      <c r="C55" s="2">
        <v>12.12</v>
      </c>
      <c r="D55">
        <v>4</v>
      </c>
      <c r="E55" s="3">
        <v>0</v>
      </c>
      <c r="F55" s="4">
        <v>2.5451999999999999</v>
      </c>
      <c r="G55" t="str">
        <f>_xlfn.XLOOKUP(B55,'Cleaned Data'!I55:I209,'Cleaned Data'!L55:L209)</f>
        <v>Imation USB 2.0 Swivel Flash Drive USB flash drive - 4 GB - Pink</v>
      </c>
      <c r="H55" t="str">
        <f>_xlfn.XLOOKUP(B55,'Cleaned Data'!I55:I209,'Cleaned Data'!J55:J209)</f>
        <v>Technology</v>
      </c>
      <c r="I55" t="str">
        <f>_xlfn.XLOOKUP(B55,'Cleaned Data'!I55:I209,'Cleaned Data'!K55:K209)</f>
        <v>Accessories</v>
      </c>
      <c r="J55" t="str">
        <f>_xlfn.XLOOKUP(B55,'Cleaned Data'!I55:I209,'Cleaned Data'!H55:H209)</f>
        <v>Central</v>
      </c>
      <c r="K55" t="str">
        <f>_xlfn.XLOOKUP(B55,'Cleaned Data'!I55:I209,'Cleaned Data'!E55:E209)</f>
        <v>Home Office</v>
      </c>
    </row>
    <row r="56" spans="1:11" x14ac:dyDescent="0.35">
      <c r="A56" t="s">
        <v>540</v>
      </c>
      <c r="B56" t="s">
        <v>286</v>
      </c>
      <c r="C56" s="2">
        <v>11.34</v>
      </c>
      <c r="D56">
        <v>1</v>
      </c>
      <c r="E56" s="3">
        <v>0</v>
      </c>
      <c r="F56" s="4">
        <v>5.5566000000000004</v>
      </c>
      <c r="G56" t="str">
        <f>_xlfn.XLOOKUP(B56,'Cleaned Data'!I56:I210,'Cleaned Data'!L56:L210)</f>
        <v>Xerox 188</v>
      </c>
      <c r="H56" t="str">
        <f>_xlfn.XLOOKUP(B56,'Cleaned Data'!I56:I210,'Cleaned Data'!J56:J210)</f>
        <v>Office Supplies</v>
      </c>
      <c r="I56" t="str">
        <f>_xlfn.XLOOKUP(B56,'Cleaned Data'!I56:I210,'Cleaned Data'!K56:K210)</f>
        <v>Paper</v>
      </c>
      <c r="J56" t="str">
        <f>_xlfn.XLOOKUP(B56,'Cleaned Data'!I56:I210,'Cleaned Data'!H56:H210)</f>
        <v>Central</v>
      </c>
      <c r="K56" t="str">
        <f>_xlfn.XLOOKUP(B56,'Cleaned Data'!I56:I210,'Cleaned Data'!E56:E210)</f>
        <v>Home Office</v>
      </c>
    </row>
    <row r="57" spans="1:11" x14ac:dyDescent="0.35">
      <c r="A57" t="s">
        <v>540</v>
      </c>
      <c r="B57" t="s">
        <v>130</v>
      </c>
      <c r="C57" s="2">
        <v>159.80000000000001</v>
      </c>
      <c r="D57">
        <v>4</v>
      </c>
      <c r="E57" s="3">
        <v>0</v>
      </c>
      <c r="F57" s="4">
        <v>70.311999999999998</v>
      </c>
      <c r="G57" t="str">
        <f>_xlfn.XLOOKUP(B57,'Cleaned Data'!I57:I211,'Cleaned Data'!L57:L211)</f>
        <v>Microsoft Sculpt Comfort Mouse</v>
      </c>
      <c r="H57" t="str">
        <f>_xlfn.XLOOKUP(B57,'Cleaned Data'!I57:I211,'Cleaned Data'!J57:J211)</f>
        <v>Technology</v>
      </c>
      <c r="I57" t="str">
        <f>_xlfn.XLOOKUP(B57,'Cleaned Data'!I57:I211,'Cleaned Data'!K57:K211)</f>
        <v>Accessories</v>
      </c>
      <c r="J57" t="str">
        <f>_xlfn.XLOOKUP(B57,'Cleaned Data'!I57:I211,'Cleaned Data'!H57:H211)</f>
        <v>Central</v>
      </c>
      <c r="K57" t="str">
        <f>_xlfn.XLOOKUP(B57,'Cleaned Data'!I57:I211,'Cleaned Data'!E57:E211)</f>
        <v>Home Office</v>
      </c>
    </row>
    <row r="58" spans="1:11" x14ac:dyDescent="0.35">
      <c r="A58" t="s">
        <v>540</v>
      </c>
      <c r="B58" t="s">
        <v>383</v>
      </c>
      <c r="C58" s="2">
        <v>18.96</v>
      </c>
      <c r="D58">
        <v>2</v>
      </c>
      <c r="E58" s="3">
        <v>0</v>
      </c>
      <c r="F58" s="4">
        <v>8.532</v>
      </c>
      <c r="G58" t="str">
        <f>_xlfn.XLOOKUP(B58,'Cleaned Data'!I58:I212,'Cleaned Data'!L58:L212)</f>
        <v>DAX Charcoal/Nickel-Tone Document Frame, 5 x 7</v>
      </c>
      <c r="H58" t="str">
        <f>_xlfn.XLOOKUP(B58,'Cleaned Data'!I58:I212,'Cleaned Data'!J58:J212)</f>
        <v>Furniture</v>
      </c>
      <c r="I58" t="str">
        <f>_xlfn.XLOOKUP(B58,'Cleaned Data'!I58:I212,'Cleaned Data'!K58:K212)</f>
        <v>Furnishings</v>
      </c>
      <c r="J58" t="str">
        <f>_xlfn.XLOOKUP(B58,'Cleaned Data'!I58:I212,'Cleaned Data'!H58:H212)</f>
        <v>Central</v>
      </c>
      <c r="K58" t="str">
        <f>_xlfn.XLOOKUP(B58,'Cleaned Data'!I58:I212,'Cleaned Data'!E58:E212)</f>
        <v>Home Office</v>
      </c>
    </row>
    <row r="59" spans="1:11" x14ac:dyDescent="0.35">
      <c r="A59" t="s">
        <v>434</v>
      </c>
      <c r="B59" t="s">
        <v>435</v>
      </c>
      <c r="C59" s="2">
        <v>34.384</v>
      </c>
      <c r="D59">
        <v>1</v>
      </c>
      <c r="E59" s="3">
        <v>0.2</v>
      </c>
      <c r="F59" s="4">
        <v>3.8681999999999999</v>
      </c>
      <c r="G59" t="str">
        <f>_xlfn.XLOOKUP(B59,'Cleaned Data'!I59:I213,'Cleaned Data'!L59:L213)</f>
        <v>Belkin F9M820V08 8 Outlet Surge</v>
      </c>
      <c r="H59" t="str">
        <f>_xlfn.XLOOKUP(B59,'Cleaned Data'!I59:I213,'Cleaned Data'!J59:J213)</f>
        <v>Office Supplies</v>
      </c>
      <c r="I59" t="str">
        <f>_xlfn.XLOOKUP(B59,'Cleaned Data'!I59:I213,'Cleaned Data'!K59:K213)</f>
        <v>Appliances</v>
      </c>
      <c r="J59" t="str">
        <f>_xlfn.XLOOKUP(B59,'Cleaned Data'!I59:I213,'Cleaned Data'!H59:H213)</f>
        <v>East</v>
      </c>
      <c r="K59" t="str">
        <f>_xlfn.XLOOKUP(B59,'Cleaned Data'!I59:I213,'Cleaned Data'!E59:E213)</f>
        <v>Consumer</v>
      </c>
    </row>
    <row r="60" spans="1:11" x14ac:dyDescent="0.35">
      <c r="A60" t="s">
        <v>434</v>
      </c>
      <c r="B60" t="s">
        <v>127</v>
      </c>
      <c r="C60" s="2">
        <v>1924.16</v>
      </c>
      <c r="D60">
        <v>8</v>
      </c>
      <c r="E60" s="3">
        <v>0.2</v>
      </c>
      <c r="F60" s="4">
        <v>312.67599999999999</v>
      </c>
      <c r="G60" t="str">
        <f>_xlfn.XLOOKUP(B60,'Cleaned Data'!I60:I214,'Cleaned Data'!L60:L214)</f>
        <v>Honeywell Enviracaire Portable HEPA Air Cleaner for 17' x 22' Room</v>
      </c>
      <c r="H60" t="str">
        <f>_xlfn.XLOOKUP(B60,'Cleaned Data'!I60:I214,'Cleaned Data'!J60:J214)</f>
        <v>Office Supplies</v>
      </c>
      <c r="I60" t="str">
        <f>_xlfn.XLOOKUP(B60,'Cleaned Data'!I60:I214,'Cleaned Data'!K60:K214)</f>
        <v>Appliances</v>
      </c>
      <c r="J60" t="str">
        <f>_xlfn.XLOOKUP(B60,'Cleaned Data'!I60:I214,'Cleaned Data'!H60:H214)</f>
        <v>East</v>
      </c>
      <c r="K60" t="str">
        <f>_xlfn.XLOOKUP(B60,'Cleaned Data'!I60:I214,'Cleaned Data'!E60:E214)</f>
        <v>Consumer</v>
      </c>
    </row>
    <row r="61" spans="1:11" x14ac:dyDescent="0.35">
      <c r="A61" t="s">
        <v>465</v>
      </c>
      <c r="B61" t="s">
        <v>78</v>
      </c>
      <c r="C61" s="2">
        <v>12.7</v>
      </c>
      <c r="D61">
        <v>2</v>
      </c>
      <c r="E61" s="3">
        <v>0</v>
      </c>
      <c r="F61" s="4">
        <v>5.8419999999999996</v>
      </c>
      <c r="G61" t="str">
        <f>_xlfn.XLOOKUP(B61,'Cleaned Data'!I61:I215,'Cleaned Data'!L61:L215)</f>
        <v>Telephone Message Books with Fax/Mobile Section, 5 1/2" x 3 3/16"</v>
      </c>
      <c r="H61" t="str">
        <f>_xlfn.XLOOKUP(B61,'Cleaned Data'!I61:I215,'Cleaned Data'!J61:J215)</f>
        <v>Office Supplies</v>
      </c>
      <c r="I61" t="str">
        <f>_xlfn.XLOOKUP(B61,'Cleaned Data'!I61:I215,'Cleaned Data'!K61:K215)</f>
        <v>Paper</v>
      </c>
      <c r="J61" t="str">
        <f>_xlfn.XLOOKUP(B61,'Cleaned Data'!I61:I215,'Cleaned Data'!H61:H215)</f>
        <v>East</v>
      </c>
      <c r="K61" t="str">
        <f>_xlfn.XLOOKUP(B61,'Cleaned Data'!I61:I215,'Cleaned Data'!E61:E215)</f>
        <v>Consumer</v>
      </c>
    </row>
    <row r="62" spans="1:11" x14ac:dyDescent="0.35">
      <c r="A62" t="s">
        <v>491</v>
      </c>
      <c r="B62" t="s">
        <v>350</v>
      </c>
      <c r="C62" s="2">
        <v>21.4</v>
      </c>
      <c r="D62">
        <v>5</v>
      </c>
      <c r="E62" s="3">
        <v>0</v>
      </c>
      <c r="F62" s="4">
        <v>6.2060000000000004</v>
      </c>
      <c r="G62" t="str">
        <f>_xlfn.XLOOKUP(B62,'Cleaned Data'!I62:I216,'Cleaned Data'!L62:L216)</f>
        <v>Newell 347</v>
      </c>
      <c r="H62" t="str">
        <f>_xlfn.XLOOKUP(B62,'Cleaned Data'!I62:I216,'Cleaned Data'!J62:J216)</f>
        <v>Office Supplies</v>
      </c>
      <c r="I62" t="str">
        <f>_xlfn.XLOOKUP(B62,'Cleaned Data'!I62:I216,'Cleaned Data'!K62:K216)</f>
        <v>Art</v>
      </c>
      <c r="J62" t="str">
        <f>_xlfn.XLOOKUP(B62,'Cleaned Data'!I62:I216,'Cleaned Data'!H62:H216)</f>
        <v>West</v>
      </c>
      <c r="K62" t="str">
        <f>_xlfn.XLOOKUP(B62,'Cleaned Data'!I62:I216,'Cleaned Data'!E62:E216)</f>
        <v>Home Office</v>
      </c>
    </row>
    <row r="63" spans="1:11" x14ac:dyDescent="0.35">
      <c r="A63" t="s">
        <v>506</v>
      </c>
      <c r="B63" t="s">
        <v>295</v>
      </c>
      <c r="C63" s="2">
        <v>32.783999999999999</v>
      </c>
      <c r="D63">
        <v>4</v>
      </c>
      <c r="E63" s="3">
        <v>0.8</v>
      </c>
      <c r="F63" s="4">
        <v>-52.4544</v>
      </c>
      <c r="G63" t="str">
        <f>_xlfn.XLOOKUP(B63,'Cleaned Data'!I63:I217,'Cleaned Data'!L63:L217)</f>
        <v>Wilson Jones Ledger-Size, Piano-Hinge Binder, 2", Blue</v>
      </c>
      <c r="H63" t="str">
        <f>_xlfn.XLOOKUP(B63,'Cleaned Data'!I63:I217,'Cleaned Data'!J63:J217)</f>
        <v>Office Supplies</v>
      </c>
      <c r="I63" t="str">
        <f>_xlfn.XLOOKUP(B63,'Cleaned Data'!I63:I217,'Cleaned Data'!K63:K217)</f>
        <v>Binders</v>
      </c>
      <c r="J63" t="str">
        <f>_xlfn.XLOOKUP(B63,'Cleaned Data'!I63:I217,'Cleaned Data'!H63:H217)</f>
        <v>Central</v>
      </c>
      <c r="K63" t="str">
        <f>_xlfn.XLOOKUP(B63,'Cleaned Data'!I63:I217,'Cleaned Data'!E63:E217)</f>
        <v>Consumer</v>
      </c>
    </row>
    <row r="64" spans="1:11" x14ac:dyDescent="0.35">
      <c r="A64" t="s">
        <v>506</v>
      </c>
      <c r="B64" t="s">
        <v>136</v>
      </c>
      <c r="C64" s="2">
        <v>47.984000000000002</v>
      </c>
      <c r="D64">
        <v>2</v>
      </c>
      <c r="E64" s="3">
        <v>0.2</v>
      </c>
      <c r="F64" s="4">
        <v>14.395200000000001</v>
      </c>
      <c r="G64" t="str">
        <f>_xlfn.XLOOKUP(B64,'Cleaned Data'!I64:I218,'Cleaned Data'!L64:L218)</f>
        <v>Logitech 910-002974 M325 Wireless Mouse for Web Scrolling</v>
      </c>
      <c r="H64" t="str">
        <f>_xlfn.XLOOKUP(B64,'Cleaned Data'!I64:I218,'Cleaned Data'!J64:J218)</f>
        <v>Technology</v>
      </c>
      <c r="I64" t="str">
        <f>_xlfn.XLOOKUP(B64,'Cleaned Data'!I64:I218,'Cleaned Data'!K64:K218)</f>
        <v>Accessories</v>
      </c>
      <c r="J64" t="str">
        <f>_xlfn.XLOOKUP(B64,'Cleaned Data'!I64:I218,'Cleaned Data'!H64:H218)</f>
        <v>Central</v>
      </c>
      <c r="K64" t="str">
        <f>_xlfn.XLOOKUP(B64,'Cleaned Data'!I64:I218,'Cleaned Data'!E64:E218)</f>
        <v>Consumer</v>
      </c>
    </row>
    <row r="65" spans="1:11" x14ac:dyDescent="0.35">
      <c r="A65" t="s">
        <v>506</v>
      </c>
      <c r="B65" t="s">
        <v>463</v>
      </c>
      <c r="C65" s="2">
        <v>62.591999999999999</v>
      </c>
      <c r="D65">
        <v>8</v>
      </c>
      <c r="E65" s="3">
        <v>0.2</v>
      </c>
      <c r="F65" s="4">
        <v>13.300800000000001</v>
      </c>
      <c r="G65" t="str">
        <f>_xlfn.XLOOKUP(B65,'Cleaned Data'!I65:I219,'Cleaned Data'!L65:L219)</f>
        <v>Maxell 74 Minute CDR, 10/Pack</v>
      </c>
      <c r="H65" t="str">
        <f>_xlfn.XLOOKUP(B65,'Cleaned Data'!I65:I219,'Cleaned Data'!J65:J219)</f>
        <v>Technology</v>
      </c>
      <c r="I65" t="str">
        <f>_xlfn.XLOOKUP(B65,'Cleaned Data'!I65:I219,'Cleaned Data'!K65:K219)</f>
        <v>Accessories</v>
      </c>
      <c r="J65" t="str">
        <f>_xlfn.XLOOKUP(B65,'Cleaned Data'!I65:I219,'Cleaned Data'!H65:H219)</f>
        <v>Central</v>
      </c>
      <c r="K65" t="str">
        <f>_xlfn.XLOOKUP(B65,'Cleaned Data'!I65:I219,'Cleaned Data'!E65:E219)</f>
        <v>Consumer</v>
      </c>
    </row>
    <row r="66" spans="1:11" x14ac:dyDescent="0.35">
      <c r="A66" t="s">
        <v>506</v>
      </c>
      <c r="B66" t="s">
        <v>168</v>
      </c>
      <c r="C66" s="2">
        <v>4.2759999999999998</v>
      </c>
      <c r="D66">
        <v>1</v>
      </c>
      <c r="E66" s="3">
        <v>0.8</v>
      </c>
      <c r="F66" s="4">
        <v>-6.6277999999999997</v>
      </c>
      <c r="G66" t="str">
        <f>_xlfn.XLOOKUP(B66,'Cleaned Data'!I66:I220,'Cleaned Data'!L66:L220)</f>
        <v>Acco D-Ring Binder w/DublLock</v>
      </c>
      <c r="H66" t="str">
        <f>_xlfn.XLOOKUP(B66,'Cleaned Data'!I66:I220,'Cleaned Data'!J66:J220)</f>
        <v>Office Supplies</v>
      </c>
      <c r="I66" t="str">
        <f>_xlfn.XLOOKUP(B66,'Cleaned Data'!I66:I220,'Cleaned Data'!K66:K220)</f>
        <v>Binders</v>
      </c>
      <c r="J66" t="str">
        <f>_xlfn.XLOOKUP(B66,'Cleaned Data'!I66:I220,'Cleaned Data'!H66:H220)</f>
        <v>Central</v>
      </c>
      <c r="K66" t="str">
        <f>_xlfn.XLOOKUP(B66,'Cleaned Data'!I66:I220,'Cleaned Data'!E66:E220)</f>
        <v>Consumer</v>
      </c>
    </row>
    <row r="67" spans="1:11" x14ac:dyDescent="0.35">
      <c r="A67" t="s">
        <v>493</v>
      </c>
      <c r="B67" t="s">
        <v>30</v>
      </c>
      <c r="C67" s="2">
        <v>27.92</v>
      </c>
      <c r="D67">
        <v>4</v>
      </c>
      <c r="E67" s="3">
        <v>0</v>
      </c>
      <c r="F67" s="4">
        <v>8.0968</v>
      </c>
      <c r="G67" t="str">
        <f>_xlfn.XLOOKUP(B67,'Cleaned Data'!I67:I221,'Cleaned Data'!L67:L221)</f>
        <v>Eldon Expressions Wood and Plastic Desk Accessories, Cherry Wood</v>
      </c>
      <c r="H67" t="str">
        <f>_xlfn.XLOOKUP(B67,'Cleaned Data'!I67:I221,'Cleaned Data'!J67:J221)</f>
        <v>Furniture</v>
      </c>
      <c r="I67" t="str">
        <f>_xlfn.XLOOKUP(B67,'Cleaned Data'!I67:I221,'Cleaned Data'!K67:K221)</f>
        <v>Furnishings</v>
      </c>
      <c r="J67" t="str">
        <f>_xlfn.XLOOKUP(B67,'Cleaned Data'!I67:I221,'Cleaned Data'!H67:H221)</f>
        <v>West</v>
      </c>
      <c r="K67" t="str">
        <f>_xlfn.XLOOKUP(B67,'Cleaned Data'!I67:I221,'Cleaned Data'!E67:E221)</f>
        <v>Corporate</v>
      </c>
    </row>
    <row r="68" spans="1:11" x14ac:dyDescent="0.35">
      <c r="A68" t="s">
        <v>493</v>
      </c>
      <c r="B68" t="s">
        <v>274</v>
      </c>
      <c r="C68" s="2">
        <v>399.67200000000003</v>
      </c>
      <c r="D68">
        <v>7</v>
      </c>
      <c r="E68" s="3">
        <v>0.2</v>
      </c>
      <c r="F68" s="4">
        <v>-14.9877</v>
      </c>
      <c r="G68" t="str">
        <f>_xlfn.XLOOKUP(B68,'Cleaned Data'!I68:I222,'Cleaned Data'!L68:L222)</f>
        <v>Lesro Sheffield Collection Coffee Table, End Table, Center Table, Corner Table</v>
      </c>
      <c r="H68" t="str">
        <f>_xlfn.XLOOKUP(B68,'Cleaned Data'!I68:I222,'Cleaned Data'!J68:J222)</f>
        <v>Furniture</v>
      </c>
      <c r="I68" t="str">
        <f>_xlfn.XLOOKUP(B68,'Cleaned Data'!I68:I222,'Cleaned Data'!K68:K222)</f>
        <v>Tables</v>
      </c>
      <c r="J68" t="str">
        <f>_xlfn.XLOOKUP(B68,'Cleaned Data'!I68:I222,'Cleaned Data'!H68:H222)</f>
        <v>West</v>
      </c>
      <c r="K68" t="str">
        <f>_xlfn.XLOOKUP(B68,'Cleaned Data'!I68:I222,'Cleaned Data'!E68:E222)</f>
        <v>Corporate</v>
      </c>
    </row>
    <row r="69" spans="1:11" x14ac:dyDescent="0.35">
      <c r="A69" t="s">
        <v>507</v>
      </c>
      <c r="B69" t="s">
        <v>148</v>
      </c>
      <c r="C69" s="2">
        <v>5443.96</v>
      </c>
      <c r="D69">
        <v>4</v>
      </c>
      <c r="E69" s="3">
        <v>0</v>
      </c>
      <c r="F69" s="4">
        <v>2504.2215999999999</v>
      </c>
      <c r="G69" t="str">
        <f>_xlfn.XLOOKUP(B69,'Cleaned Data'!I69:I223,'Cleaned Data'!L69:L223)</f>
        <v>GBC DocuBind P400 Electric Binding System</v>
      </c>
      <c r="H69" t="str">
        <f>_xlfn.XLOOKUP(B69,'Cleaned Data'!I69:I223,'Cleaned Data'!J69:J223)</f>
        <v>Office Supplies</v>
      </c>
      <c r="I69" t="str">
        <f>_xlfn.XLOOKUP(B69,'Cleaned Data'!I69:I223,'Cleaned Data'!K69:K223)</f>
        <v>Binders</v>
      </c>
      <c r="J69" t="str">
        <f>_xlfn.XLOOKUP(B69,'Cleaned Data'!I69:I223,'Cleaned Data'!H69:H223)</f>
        <v>Central</v>
      </c>
      <c r="K69" t="str">
        <f>_xlfn.XLOOKUP(B69,'Cleaned Data'!I69:I223,'Cleaned Data'!E69:E223)</f>
        <v>Consumer</v>
      </c>
    </row>
    <row r="70" spans="1:11" x14ac:dyDescent="0.35">
      <c r="A70" t="s">
        <v>507</v>
      </c>
      <c r="B70" t="s">
        <v>488</v>
      </c>
      <c r="C70" s="2">
        <v>302.67</v>
      </c>
      <c r="D70">
        <v>3</v>
      </c>
      <c r="E70" s="3">
        <v>0</v>
      </c>
      <c r="F70" s="4">
        <v>72.640799999999999</v>
      </c>
      <c r="G70" t="str">
        <f>_xlfn.XLOOKUP(B70,'Cleaned Data'!I70:I224,'Cleaned Data'!L70:L224)</f>
        <v>Office Star Flex Back Scooter Chair with Aluminum Finish Frame</v>
      </c>
      <c r="H70" t="str">
        <f>_xlfn.XLOOKUP(B70,'Cleaned Data'!I70:I224,'Cleaned Data'!J70:J224)</f>
        <v>Furniture</v>
      </c>
      <c r="I70" t="str">
        <f>_xlfn.XLOOKUP(B70,'Cleaned Data'!I70:I224,'Cleaned Data'!K70:K224)</f>
        <v>Chairs</v>
      </c>
      <c r="J70" t="str">
        <f>_xlfn.XLOOKUP(B70,'Cleaned Data'!I70:I224,'Cleaned Data'!H70:H224)</f>
        <v>Central</v>
      </c>
      <c r="K70" t="str">
        <f>_xlfn.XLOOKUP(B70,'Cleaned Data'!I70:I224,'Cleaned Data'!E70:E224)</f>
        <v>Consumer</v>
      </c>
    </row>
    <row r="71" spans="1:11" x14ac:dyDescent="0.35">
      <c r="A71" t="s">
        <v>507</v>
      </c>
      <c r="B71" t="s">
        <v>508</v>
      </c>
      <c r="C71" s="2">
        <v>56.07</v>
      </c>
      <c r="D71">
        <v>7</v>
      </c>
      <c r="E71" s="3">
        <v>0</v>
      </c>
      <c r="F71" s="4">
        <v>25.2315</v>
      </c>
      <c r="G71" t="str">
        <f>_xlfn.XLOOKUP(B71,'Cleaned Data'!I71:I225,'Cleaned Data'!L71:L225)</f>
        <v>TOPS Money Receipt Book, Consecutively Numbered in Red,</v>
      </c>
      <c r="H71" t="str">
        <f>_xlfn.XLOOKUP(B71,'Cleaned Data'!I71:I225,'Cleaned Data'!J71:J225)</f>
        <v>Office Supplies</v>
      </c>
      <c r="I71" t="str">
        <f>_xlfn.XLOOKUP(B71,'Cleaned Data'!I71:I225,'Cleaned Data'!K71:K225)</f>
        <v>Paper</v>
      </c>
      <c r="J71" t="str">
        <f>_xlfn.XLOOKUP(B71,'Cleaned Data'!I71:I225,'Cleaned Data'!H71:H225)</f>
        <v>Central</v>
      </c>
      <c r="K71" t="str">
        <f>_xlfn.XLOOKUP(B71,'Cleaned Data'!I71:I225,'Cleaned Data'!E71:E225)</f>
        <v>Consumer</v>
      </c>
    </row>
    <row r="72" spans="1:11" x14ac:dyDescent="0.35">
      <c r="A72" t="s">
        <v>377</v>
      </c>
      <c r="B72" t="s">
        <v>379</v>
      </c>
      <c r="C72" s="2">
        <v>6</v>
      </c>
      <c r="D72">
        <v>2</v>
      </c>
      <c r="E72" s="3">
        <v>0.2</v>
      </c>
      <c r="F72" s="4">
        <v>2.1</v>
      </c>
      <c r="G72" t="str">
        <f>_xlfn.XLOOKUP(B72,'Cleaned Data'!I72:I226,'Cleaned Data'!L72:L226)</f>
        <v>Avery 510</v>
      </c>
      <c r="H72" t="str">
        <f>_xlfn.XLOOKUP(B72,'Cleaned Data'!I72:I226,'Cleaned Data'!J72:J226)</f>
        <v>Office Supplies</v>
      </c>
      <c r="I72" t="str">
        <f>_xlfn.XLOOKUP(B72,'Cleaned Data'!I72:I226,'Cleaned Data'!K72:K226)</f>
        <v>Labels</v>
      </c>
      <c r="J72" t="str">
        <f>_xlfn.XLOOKUP(B72,'Cleaned Data'!I72:I226,'Cleaned Data'!H72:H226)</f>
        <v>Central</v>
      </c>
      <c r="K72" t="str">
        <f>_xlfn.XLOOKUP(B72,'Cleaned Data'!I72:I226,'Cleaned Data'!E72:E226)</f>
        <v>Consumer</v>
      </c>
    </row>
    <row r="73" spans="1:11" x14ac:dyDescent="0.35">
      <c r="A73" t="s">
        <v>533</v>
      </c>
      <c r="B73" t="s">
        <v>368</v>
      </c>
      <c r="C73" s="2">
        <v>429.6</v>
      </c>
      <c r="D73">
        <v>2</v>
      </c>
      <c r="E73" s="3">
        <v>0.4</v>
      </c>
      <c r="F73" s="4">
        <v>-93.08</v>
      </c>
      <c r="G73" t="str">
        <f>_xlfn.XLOOKUP(B73,'Cleaned Data'!I73:I227,'Cleaned Data'!L73:L227)</f>
        <v>Wilson Electronics DB Pro Signal Booster</v>
      </c>
      <c r="H73" t="str">
        <f>_xlfn.XLOOKUP(B73,'Cleaned Data'!I73:I227,'Cleaned Data'!J73:J227)</f>
        <v>Technology</v>
      </c>
      <c r="I73" t="str">
        <f>_xlfn.XLOOKUP(B73,'Cleaned Data'!I73:I227,'Cleaned Data'!K73:K227)</f>
        <v>Phones</v>
      </c>
      <c r="J73" t="str">
        <f>_xlfn.XLOOKUP(B73,'Cleaned Data'!I73:I227,'Cleaned Data'!H73:H227)</f>
        <v>East</v>
      </c>
      <c r="K73" t="str">
        <f>_xlfn.XLOOKUP(B73,'Cleaned Data'!I73:I227,'Cleaned Data'!E73:E227)</f>
        <v>Consumer</v>
      </c>
    </row>
    <row r="74" spans="1:11" x14ac:dyDescent="0.35">
      <c r="A74" t="s">
        <v>533</v>
      </c>
      <c r="B74" t="s">
        <v>220</v>
      </c>
      <c r="C74" s="2">
        <v>31.968</v>
      </c>
      <c r="D74">
        <v>2</v>
      </c>
      <c r="E74" s="3">
        <v>0.2</v>
      </c>
      <c r="F74" s="4">
        <v>6.3936000000000002</v>
      </c>
      <c r="G74" t="str">
        <f>_xlfn.XLOOKUP(B74,'Cleaned Data'!I74:I228,'Cleaned Data'!L74:L228)</f>
        <v>12-1/2 Diameter Round Wall Clock</v>
      </c>
      <c r="H74" t="str">
        <f>_xlfn.XLOOKUP(B74,'Cleaned Data'!I74:I228,'Cleaned Data'!J74:J228)</f>
        <v>Furniture</v>
      </c>
      <c r="I74" t="str">
        <f>_xlfn.XLOOKUP(B74,'Cleaned Data'!I74:I228,'Cleaned Data'!K74:K228)</f>
        <v>Furnishings</v>
      </c>
      <c r="J74" t="str">
        <f>_xlfn.XLOOKUP(B74,'Cleaned Data'!I74:I228,'Cleaned Data'!H74:H228)</f>
        <v>East</v>
      </c>
      <c r="K74" t="str">
        <f>_xlfn.XLOOKUP(B74,'Cleaned Data'!I74:I228,'Cleaned Data'!E74:E228)</f>
        <v>Consumer</v>
      </c>
    </row>
    <row r="75" spans="1:11" x14ac:dyDescent="0.35">
      <c r="A75" t="s">
        <v>533</v>
      </c>
      <c r="B75" t="s">
        <v>292</v>
      </c>
      <c r="C75" s="2">
        <v>887.27099999999996</v>
      </c>
      <c r="D75">
        <v>3</v>
      </c>
      <c r="E75" s="3">
        <v>0.3</v>
      </c>
      <c r="F75" s="4">
        <v>-63.3765</v>
      </c>
      <c r="G75" t="str">
        <f>_xlfn.XLOOKUP(B75,'Cleaned Data'!I75:I229,'Cleaned Data'!L75:L229)</f>
        <v>Global Comet Stacking Arm Chair</v>
      </c>
      <c r="H75" t="str">
        <f>_xlfn.XLOOKUP(B75,'Cleaned Data'!I75:I229,'Cleaned Data'!J75:J229)</f>
        <v>Furniture</v>
      </c>
      <c r="I75" t="str">
        <f>_xlfn.XLOOKUP(B75,'Cleaned Data'!I75:I229,'Cleaned Data'!K75:K229)</f>
        <v>Chairs</v>
      </c>
      <c r="J75" t="str">
        <f>_xlfn.XLOOKUP(B75,'Cleaned Data'!I75:I229,'Cleaned Data'!H75:H229)</f>
        <v>East</v>
      </c>
      <c r="K75" t="str">
        <f>_xlfn.XLOOKUP(B75,'Cleaned Data'!I75:I229,'Cleaned Data'!E75:E229)</f>
        <v>Consumer</v>
      </c>
    </row>
    <row r="76" spans="1:11" x14ac:dyDescent="0.35">
      <c r="A76" t="s">
        <v>533</v>
      </c>
      <c r="B76" t="s">
        <v>340</v>
      </c>
      <c r="C76" s="2">
        <v>21.696000000000002</v>
      </c>
      <c r="D76">
        <v>4</v>
      </c>
      <c r="E76" s="3">
        <v>0.2</v>
      </c>
      <c r="F76" s="4">
        <v>7.0511999999999997</v>
      </c>
      <c r="G76" t="str">
        <f>_xlfn.XLOOKUP(B76,'Cleaned Data'!I76:I230,'Cleaned Data'!L76:L230)</f>
        <v>Strathmore Photo Mount Cards</v>
      </c>
      <c r="H76" t="str">
        <f>_xlfn.XLOOKUP(B76,'Cleaned Data'!I76:I230,'Cleaned Data'!J76:J230)</f>
        <v>Office Supplies</v>
      </c>
      <c r="I76" t="str">
        <f>_xlfn.XLOOKUP(B76,'Cleaned Data'!I76:I230,'Cleaned Data'!K76:K230)</f>
        <v>Paper</v>
      </c>
      <c r="J76" t="str">
        <f>_xlfn.XLOOKUP(B76,'Cleaned Data'!I76:I230,'Cleaned Data'!H76:H230)</f>
        <v>East</v>
      </c>
      <c r="K76" t="str">
        <f>_xlfn.XLOOKUP(B76,'Cleaned Data'!I76:I230,'Cleaned Data'!E76:E230)</f>
        <v>Consumer</v>
      </c>
    </row>
    <row r="77" spans="1:11" x14ac:dyDescent="0.35">
      <c r="A77" t="s">
        <v>534</v>
      </c>
      <c r="B77" t="s">
        <v>157</v>
      </c>
      <c r="C77" s="2">
        <v>79.92</v>
      </c>
      <c r="D77">
        <v>4</v>
      </c>
      <c r="E77" s="3">
        <v>0</v>
      </c>
      <c r="F77" s="4">
        <v>37.562399999999997</v>
      </c>
      <c r="G77" t="str">
        <f>_xlfn.XLOOKUP(B77,'Cleaned Data'!I77:I231,'Cleaned Data'!L77:L231)</f>
        <v>Xerox 191</v>
      </c>
      <c r="H77" t="str">
        <f>_xlfn.XLOOKUP(B77,'Cleaned Data'!I77:I231,'Cleaned Data'!J77:J231)</f>
        <v>Office Supplies</v>
      </c>
      <c r="I77" t="str">
        <f>_xlfn.XLOOKUP(B77,'Cleaned Data'!I77:I231,'Cleaned Data'!K77:K231)</f>
        <v>Paper</v>
      </c>
      <c r="J77" t="str">
        <f>_xlfn.XLOOKUP(B77,'Cleaned Data'!I77:I231,'Cleaned Data'!H77:H231)</f>
        <v>East</v>
      </c>
      <c r="K77" t="str">
        <f>_xlfn.XLOOKUP(B77,'Cleaned Data'!I77:I231,'Cleaned Data'!E77:E231)</f>
        <v>Consumer</v>
      </c>
    </row>
    <row r="78" spans="1:11" x14ac:dyDescent="0.35">
      <c r="A78" t="s">
        <v>534</v>
      </c>
      <c r="B78" t="s">
        <v>146</v>
      </c>
      <c r="C78" s="2">
        <v>12.28</v>
      </c>
      <c r="D78">
        <v>1</v>
      </c>
      <c r="E78" s="3">
        <v>0</v>
      </c>
      <c r="F78" s="4">
        <v>5.7716000000000003</v>
      </c>
      <c r="G78" t="str">
        <f>_xlfn.XLOOKUP(B78,'Cleaned Data'!I78:I232,'Cleaned Data'!L78:L232)</f>
        <v>Xerox 1881</v>
      </c>
      <c r="H78" t="str">
        <f>_xlfn.XLOOKUP(B78,'Cleaned Data'!I78:I232,'Cleaned Data'!J78:J232)</f>
        <v>Office Supplies</v>
      </c>
      <c r="I78" t="str">
        <f>_xlfn.XLOOKUP(B78,'Cleaned Data'!I78:I232,'Cleaned Data'!K78:K232)</f>
        <v>Paper</v>
      </c>
      <c r="J78" t="str">
        <f>_xlfn.XLOOKUP(B78,'Cleaned Data'!I78:I232,'Cleaned Data'!H78:H232)</f>
        <v>East</v>
      </c>
      <c r="K78" t="str">
        <f>_xlfn.XLOOKUP(B78,'Cleaned Data'!I78:I232,'Cleaned Data'!E78:E232)</f>
        <v>Consumer</v>
      </c>
    </row>
    <row r="79" spans="1:11" x14ac:dyDescent="0.35">
      <c r="A79" t="s">
        <v>534</v>
      </c>
      <c r="B79" t="s">
        <v>365</v>
      </c>
      <c r="C79" s="2">
        <v>542.94000000000005</v>
      </c>
      <c r="D79">
        <v>3</v>
      </c>
      <c r="E79" s="3">
        <v>0</v>
      </c>
      <c r="F79" s="4">
        <v>152.0232</v>
      </c>
      <c r="G79" t="str">
        <f>_xlfn.XLOOKUP(B79,'Cleaned Data'!I79:I233,'Cleaned Data'!L79:L233)</f>
        <v>Avanti 4.4 Cu. Ft. Refrigerator</v>
      </c>
      <c r="H79" t="str">
        <f>_xlfn.XLOOKUP(B79,'Cleaned Data'!I79:I233,'Cleaned Data'!J79:J233)</f>
        <v>Office Supplies</v>
      </c>
      <c r="I79" t="str">
        <f>_xlfn.XLOOKUP(B79,'Cleaned Data'!I79:I233,'Cleaned Data'!K79:K233)</f>
        <v>Appliances</v>
      </c>
      <c r="J79" t="str">
        <f>_xlfn.XLOOKUP(B79,'Cleaned Data'!I79:I233,'Cleaned Data'!H79:H233)</f>
        <v>East</v>
      </c>
      <c r="K79" t="str">
        <f>_xlfn.XLOOKUP(B79,'Cleaned Data'!I79:I233,'Cleaned Data'!E79:E233)</f>
        <v>Consumer</v>
      </c>
    </row>
    <row r="80" spans="1:11" x14ac:dyDescent="0.35">
      <c r="A80" t="s">
        <v>534</v>
      </c>
      <c r="B80" t="s">
        <v>62</v>
      </c>
      <c r="C80" s="2">
        <v>2.04</v>
      </c>
      <c r="D80">
        <v>1</v>
      </c>
      <c r="E80" s="3">
        <v>0</v>
      </c>
      <c r="F80" s="4">
        <v>0.95879999999999999</v>
      </c>
      <c r="G80" t="str">
        <f>_xlfn.XLOOKUP(B80,'Cleaned Data'!I80:I234,'Cleaned Data'!L80:L234)</f>
        <v>Poly String Tie Envelopes</v>
      </c>
      <c r="H80" t="str">
        <f>_xlfn.XLOOKUP(B80,'Cleaned Data'!I80:I234,'Cleaned Data'!J80:J234)</f>
        <v>Office Supplies</v>
      </c>
      <c r="I80" t="str">
        <f>_xlfn.XLOOKUP(B80,'Cleaned Data'!I80:I234,'Cleaned Data'!K80:K234)</f>
        <v>Envelopes</v>
      </c>
      <c r="J80" t="str">
        <f>_xlfn.XLOOKUP(B80,'Cleaned Data'!I80:I234,'Cleaned Data'!H80:H234)</f>
        <v>East</v>
      </c>
      <c r="K80" t="str">
        <f>_xlfn.XLOOKUP(B80,'Cleaned Data'!I80:I234,'Cleaned Data'!E80:E234)</f>
        <v>Consumer</v>
      </c>
    </row>
    <row r="81" spans="1:11" x14ac:dyDescent="0.35">
      <c r="A81" t="s">
        <v>164</v>
      </c>
      <c r="B81" t="s">
        <v>165</v>
      </c>
      <c r="C81" s="2">
        <v>207.846</v>
      </c>
      <c r="D81">
        <v>3</v>
      </c>
      <c r="E81" s="3">
        <v>0.1</v>
      </c>
      <c r="F81" s="4">
        <v>2.3094000000000001</v>
      </c>
      <c r="G81" t="str">
        <f>_xlfn.XLOOKUP(B81,'Cleaned Data'!I81:I235,'Cleaned Data'!L81:L235)</f>
        <v>Global Deluxe Steno Chair</v>
      </c>
      <c r="H81" t="str">
        <f>_xlfn.XLOOKUP(B81,'Cleaned Data'!I81:I235,'Cleaned Data'!J81:J235)</f>
        <v>Furniture</v>
      </c>
      <c r="I81" t="str">
        <f>_xlfn.XLOOKUP(B81,'Cleaned Data'!I81:I235,'Cleaned Data'!K81:K235)</f>
        <v>Chairs</v>
      </c>
      <c r="J81" t="str">
        <f>_xlfn.XLOOKUP(B81,'Cleaned Data'!I81:I235,'Cleaned Data'!H81:H235)</f>
        <v>East</v>
      </c>
      <c r="K81" t="str">
        <f>_xlfn.XLOOKUP(B81,'Cleaned Data'!I81:I235,'Cleaned Data'!E81:E235)</f>
        <v>Corporate</v>
      </c>
    </row>
    <row r="82" spans="1:11" x14ac:dyDescent="0.35">
      <c r="A82" t="s">
        <v>360</v>
      </c>
      <c r="B82" t="s">
        <v>362</v>
      </c>
      <c r="C82" s="2">
        <v>160.77600000000001</v>
      </c>
      <c r="D82">
        <v>3</v>
      </c>
      <c r="E82" s="3">
        <v>0.2</v>
      </c>
      <c r="F82" s="4">
        <v>10.048500000000001</v>
      </c>
      <c r="G82" t="str">
        <f>_xlfn.XLOOKUP(B82,'Cleaned Data'!I82:I236,'Cleaned Data'!L82:L236)</f>
        <v>RCA Visys Integrated PBX 8-Line Router</v>
      </c>
      <c r="H82" t="str">
        <f>_xlfn.XLOOKUP(B82,'Cleaned Data'!I82:I236,'Cleaned Data'!J82:J236)</f>
        <v>Technology</v>
      </c>
      <c r="I82" t="str">
        <f>_xlfn.XLOOKUP(B82,'Cleaned Data'!I82:I236,'Cleaned Data'!K82:K236)</f>
        <v>Phones</v>
      </c>
      <c r="J82" t="str">
        <f>_xlfn.XLOOKUP(B82,'Cleaned Data'!I82:I236,'Cleaned Data'!H82:H236)</f>
        <v>West</v>
      </c>
      <c r="K82" t="str">
        <f>_xlfn.XLOOKUP(B82,'Cleaned Data'!I82:I236,'Cleaned Data'!E82:E236)</f>
        <v>Consumer</v>
      </c>
    </row>
    <row r="83" spans="1:11" x14ac:dyDescent="0.35">
      <c r="A83" t="s">
        <v>413</v>
      </c>
      <c r="B83" t="s">
        <v>375</v>
      </c>
      <c r="C83" s="2">
        <v>24.2</v>
      </c>
      <c r="D83">
        <v>5</v>
      </c>
      <c r="E83" s="3">
        <v>0</v>
      </c>
      <c r="F83" s="4">
        <v>7.9859999999999998</v>
      </c>
      <c r="G83" t="str">
        <f>_xlfn.XLOOKUP(B83,'Cleaned Data'!I83:I237,'Cleaned Data'!L83:L237)</f>
        <v>Staples in misc. colors</v>
      </c>
      <c r="H83" t="str">
        <f>_xlfn.XLOOKUP(B83,'Cleaned Data'!I83:I237,'Cleaned Data'!J83:J237)</f>
        <v>Office Supplies</v>
      </c>
      <c r="I83" t="str">
        <f>_xlfn.XLOOKUP(B83,'Cleaned Data'!I83:I237,'Cleaned Data'!K83:K237)</f>
        <v>Art</v>
      </c>
      <c r="J83" t="str">
        <f>_xlfn.XLOOKUP(B83,'Cleaned Data'!I83:I237,'Cleaned Data'!H83:H237)</f>
        <v>West</v>
      </c>
      <c r="K83" t="str">
        <f>_xlfn.XLOOKUP(B83,'Cleaned Data'!I83:I237,'Cleaned Data'!E83:E237)</f>
        <v>Consumer</v>
      </c>
    </row>
    <row r="84" spans="1:11" x14ac:dyDescent="0.35">
      <c r="A84" t="s">
        <v>413</v>
      </c>
      <c r="B84" t="s">
        <v>415</v>
      </c>
      <c r="C84" s="2">
        <v>359.976</v>
      </c>
      <c r="D84">
        <v>3</v>
      </c>
      <c r="E84" s="3">
        <v>0.2</v>
      </c>
      <c r="F84" s="4">
        <v>130.4913</v>
      </c>
      <c r="G84" t="str">
        <f>_xlfn.XLOOKUP(B84,'Cleaned Data'!I84:I238,'Cleaned Data'!L84:L238)</f>
        <v>Panasonic KX-TG9541B DECT 6.0 Digital 2-Line Expandable Cordless Phone With Digital Answering System</v>
      </c>
      <c r="H84" t="str">
        <f>_xlfn.XLOOKUP(B84,'Cleaned Data'!I84:I238,'Cleaned Data'!J84:J238)</f>
        <v>Technology</v>
      </c>
      <c r="I84" t="str">
        <f>_xlfn.XLOOKUP(B84,'Cleaned Data'!I84:I238,'Cleaned Data'!K84:K238)</f>
        <v>Phones</v>
      </c>
      <c r="J84" t="str">
        <f>_xlfn.XLOOKUP(B84,'Cleaned Data'!I84:I238,'Cleaned Data'!H84:H238)</f>
        <v>West</v>
      </c>
      <c r="K84" t="str">
        <f>_xlfn.XLOOKUP(B84,'Cleaned Data'!I84:I238,'Cleaned Data'!E84:E238)</f>
        <v>Consumer</v>
      </c>
    </row>
    <row r="85" spans="1:11" x14ac:dyDescent="0.35">
      <c r="A85" t="s">
        <v>494</v>
      </c>
      <c r="B85" t="s">
        <v>305</v>
      </c>
      <c r="C85" s="2">
        <v>3.52</v>
      </c>
      <c r="D85">
        <v>2</v>
      </c>
      <c r="E85" s="3">
        <v>0</v>
      </c>
      <c r="F85" s="4">
        <v>1.0207999999999999</v>
      </c>
      <c r="G85" t="str">
        <f>_xlfn.XLOOKUP(B85,'Cleaned Data'!I85:I239,'Cleaned Data'!L85:L239)</f>
        <v>Newell 326</v>
      </c>
      <c r="H85" t="str">
        <f>_xlfn.XLOOKUP(B85,'Cleaned Data'!I85:I239,'Cleaned Data'!J85:J239)</f>
        <v>Office Supplies</v>
      </c>
      <c r="I85" t="str">
        <f>_xlfn.XLOOKUP(B85,'Cleaned Data'!I85:I239,'Cleaned Data'!K85:K239)</f>
        <v>Art</v>
      </c>
      <c r="J85" t="str">
        <f>_xlfn.XLOOKUP(B85,'Cleaned Data'!I85:I239,'Cleaned Data'!H85:H239)</f>
        <v>East</v>
      </c>
      <c r="K85" t="str">
        <f>_xlfn.XLOOKUP(B85,'Cleaned Data'!I85:I239,'Cleaned Data'!E85:E239)</f>
        <v>Consumer</v>
      </c>
    </row>
    <row r="86" spans="1:11" x14ac:dyDescent="0.35">
      <c r="A86" t="s">
        <v>520</v>
      </c>
      <c r="B86" t="s">
        <v>278</v>
      </c>
      <c r="C86" s="2">
        <v>11.52</v>
      </c>
      <c r="D86">
        <v>5</v>
      </c>
      <c r="E86" s="3">
        <v>0.2</v>
      </c>
      <c r="F86" s="4">
        <v>4.1760000000000002</v>
      </c>
      <c r="G86" t="str">
        <f>_xlfn.XLOOKUP(B86,'Cleaned Data'!I86:I240,'Cleaned Data'!L86:L240)</f>
        <v>Avery File Folder Labels</v>
      </c>
      <c r="H86" t="str">
        <f>_xlfn.XLOOKUP(B86,'Cleaned Data'!I86:I240,'Cleaned Data'!J86:J240)</f>
        <v>Office Supplies</v>
      </c>
      <c r="I86" t="str">
        <f>_xlfn.XLOOKUP(B86,'Cleaned Data'!I86:I240,'Cleaned Data'!K86:K240)</f>
        <v>Labels</v>
      </c>
      <c r="J86" t="str">
        <f>_xlfn.XLOOKUP(B86,'Cleaned Data'!I86:I240,'Cleaned Data'!H86:H240)</f>
        <v>Central</v>
      </c>
      <c r="K86" t="str">
        <f>_xlfn.XLOOKUP(B86,'Cleaned Data'!I86:I240,'Cleaned Data'!E86:E240)</f>
        <v>Consumer</v>
      </c>
    </row>
    <row r="87" spans="1:11" x14ac:dyDescent="0.35">
      <c r="A87" t="s">
        <v>228</v>
      </c>
      <c r="B87" t="s">
        <v>194</v>
      </c>
      <c r="C87" s="2">
        <v>242.94</v>
      </c>
      <c r="D87">
        <v>3</v>
      </c>
      <c r="E87" s="3">
        <v>0</v>
      </c>
      <c r="F87" s="4">
        <v>9.7175999999999991</v>
      </c>
      <c r="G87" t="str">
        <f>_xlfn.XLOOKUP(B87,'Cleaned Data'!I87:I241,'Cleaned Data'!L87:L241)</f>
        <v>Carina Double Wide Media Storage Towers in Natural &amp; Black</v>
      </c>
      <c r="H87" t="str">
        <f>_xlfn.XLOOKUP(B87,'Cleaned Data'!I87:I241,'Cleaned Data'!J87:J241)</f>
        <v>Office Supplies</v>
      </c>
      <c r="I87" t="str">
        <f>_xlfn.XLOOKUP(B87,'Cleaned Data'!I87:I241,'Cleaned Data'!K87:K241)</f>
        <v>Storage</v>
      </c>
      <c r="J87" t="str">
        <f>_xlfn.XLOOKUP(B87,'Cleaned Data'!I87:I241,'Cleaned Data'!H87:H241)</f>
        <v>West</v>
      </c>
      <c r="K87" t="str">
        <f>_xlfn.XLOOKUP(B87,'Cleaned Data'!I87:I241,'Cleaned Data'!E87:E241)</f>
        <v>Home Office</v>
      </c>
    </row>
    <row r="88" spans="1:11" x14ac:dyDescent="0.35">
      <c r="A88" t="s">
        <v>228</v>
      </c>
      <c r="B88" t="s">
        <v>230</v>
      </c>
      <c r="C88" s="2">
        <v>179.97</v>
      </c>
      <c r="D88">
        <v>3</v>
      </c>
      <c r="E88" s="3">
        <v>0</v>
      </c>
      <c r="F88" s="4">
        <v>86.385599999999997</v>
      </c>
      <c r="G88" t="str">
        <f>_xlfn.XLOOKUP(B88,'Cleaned Data'!I88:I242,'Cleaned Data'!L88:L242)</f>
        <v>Logitech Illuminated - Keyboard</v>
      </c>
      <c r="H88" t="str">
        <f>_xlfn.XLOOKUP(B88,'Cleaned Data'!I88:I242,'Cleaned Data'!J88:J242)</f>
        <v>Technology</v>
      </c>
      <c r="I88" t="str">
        <f>_xlfn.XLOOKUP(B88,'Cleaned Data'!I88:I242,'Cleaned Data'!K88:K242)</f>
        <v>Accessories</v>
      </c>
      <c r="J88" t="str">
        <f>_xlfn.XLOOKUP(B88,'Cleaned Data'!I88:I242,'Cleaned Data'!H88:H242)</f>
        <v>West</v>
      </c>
      <c r="K88" t="str">
        <f>_xlfn.XLOOKUP(B88,'Cleaned Data'!I88:I242,'Cleaned Data'!E88:E242)</f>
        <v>Home Office</v>
      </c>
    </row>
    <row r="89" spans="1:11" x14ac:dyDescent="0.35">
      <c r="A89" t="s">
        <v>228</v>
      </c>
      <c r="B89" t="s">
        <v>154</v>
      </c>
      <c r="C89" s="2">
        <v>99.695999999999998</v>
      </c>
      <c r="D89">
        <v>6</v>
      </c>
      <c r="E89" s="3">
        <v>0.2</v>
      </c>
      <c r="F89" s="4">
        <v>33.647399999999998</v>
      </c>
      <c r="G89" t="str">
        <f>_xlfn.XLOOKUP(B89,'Cleaned Data'!I89:I243,'Cleaned Data'!L89:L243)</f>
        <v>Wilson Jones Century Plastic Molded Ring Binders</v>
      </c>
      <c r="H89" t="str">
        <f>_xlfn.XLOOKUP(B89,'Cleaned Data'!I89:I243,'Cleaned Data'!J89:J243)</f>
        <v>Office Supplies</v>
      </c>
      <c r="I89" t="str">
        <f>_xlfn.XLOOKUP(B89,'Cleaned Data'!I89:I243,'Cleaned Data'!K89:K243)</f>
        <v>Binders</v>
      </c>
      <c r="J89" t="str">
        <f>_xlfn.XLOOKUP(B89,'Cleaned Data'!I89:I243,'Cleaned Data'!H89:H243)</f>
        <v>West</v>
      </c>
      <c r="K89" t="str">
        <f>_xlfn.XLOOKUP(B89,'Cleaned Data'!I89:I243,'Cleaned Data'!E89:E243)</f>
        <v>Home Office</v>
      </c>
    </row>
    <row r="90" spans="1:11" x14ac:dyDescent="0.35">
      <c r="A90" t="s">
        <v>228</v>
      </c>
      <c r="B90" t="s">
        <v>67</v>
      </c>
      <c r="C90" s="2">
        <v>27.936</v>
      </c>
      <c r="D90">
        <v>4</v>
      </c>
      <c r="E90" s="3">
        <v>0.2</v>
      </c>
      <c r="F90" s="4">
        <v>9.4283999999999999</v>
      </c>
      <c r="G90" t="str">
        <f>_xlfn.XLOOKUP(B90,'Cleaned Data'!I90:I244,'Cleaned Data'!L90:L244)</f>
        <v>Wilson Jones Leather-Like Binders with DublLock Round Rings</v>
      </c>
      <c r="H90" t="str">
        <f>_xlfn.XLOOKUP(B90,'Cleaned Data'!I90:I244,'Cleaned Data'!J90:J244)</f>
        <v>Office Supplies</v>
      </c>
      <c r="I90" t="str">
        <f>_xlfn.XLOOKUP(B90,'Cleaned Data'!I90:I244,'Cleaned Data'!K90:K244)</f>
        <v>Binders</v>
      </c>
      <c r="J90" t="str">
        <f>_xlfn.XLOOKUP(B90,'Cleaned Data'!I90:I244,'Cleaned Data'!H90:H244)</f>
        <v>West</v>
      </c>
      <c r="K90" t="str">
        <f>_xlfn.XLOOKUP(B90,'Cleaned Data'!I90:I244,'Cleaned Data'!E90:E244)</f>
        <v>Home Office</v>
      </c>
    </row>
    <row r="91" spans="1:11" x14ac:dyDescent="0.35">
      <c r="A91" t="s">
        <v>228</v>
      </c>
      <c r="B91" t="s">
        <v>232</v>
      </c>
      <c r="C91" s="2">
        <v>84.98</v>
      </c>
      <c r="D91">
        <v>1</v>
      </c>
      <c r="E91" s="3">
        <v>0</v>
      </c>
      <c r="F91" s="4">
        <v>18.695599999999999</v>
      </c>
      <c r="G91" t="str">
        <f>_xlfn.XLOOKUP(B91,'Cleaned Data'!I91:I245,'Cleaned Data'!L91:L245)</f>
        <v>O'Sullivan Cherrywood Estates Traditional Bookcase</v>
      </c>
      <c r="H91" t="str">
        <f>_xlfn.XLOOKUP(B91,'Cleaned Data'!I91:I245,'Cleaned Data'!J91:J245)</f>
        <v>Furniture</v>
      </c>
      <c r="I91" t="str">
        <f>_xlfn.XLOOKUP(B91,'Cleaned Data'!I91:I245,'Cleaned Data'!K91:K245)</f>
        <v>Bookcases</v>
      </c>
      <c r="J91" t="str">
        <f>_xlfn.XLOOKUP(B91,'Cleaned Data'!I91:I245,'Cleaned Data'!H91:H245)</f>
        <v>West</v>
      </c>
      <c r="K91" t="str">
        <f>_xlfn.XLOOKUP(B91,'Cleaned Data'!I91:I245,'Cleaned Data'!E91:E245)</f>
        <v>Home Office</v>
      </c>
    </row>
    <row r="92" spans="1:11" x14ac:dyDescent="0.35">
      <c r="A92" t="s">
        <v>228</v>
      </c>
      <c r="B92" t="s">
        <v>234</v>
      </c>
      <c r="C92" s="2">
        <v>18.72</v>
      </c>
      <c r="D92">
        <v>5</v>
      </c>
      <c r="E92" s="3">
        <v>0.2</v>
      </c>
      <c r="F92" s="4">
        <v>6.5519999999999996</v>
      </c>
      <c r="G92" t="str">
        <f>_xlfn.XLOOKUP(B92,'Cleaned Data'!I92:I246,'Cleaned Data'!L92:L246)</f>
        <v>Acco Translucent Poly Ring Binders</v>
      </c>
      <c r="H92" t="str">
        <f>_xlfn.XLOOKUP(B92,'Cleaned Data'!I92:I246,'Cleaned Data'!J92:J246)</f>
        <v>Office Supplies</v>
      </c>
      <c r="I92" t="str">
        <f>_xlfn.XLOOKUP(B92,'Cleaned Data'!I92:I246,'Cleaned Data'!K92:K246)</f>
        <v>Binders</v>
      </c>
      <c r="J92" t="str">
        <f>_xlfn.XLOOKUP(B92,'Cleaned Data'!I92:I246,'Cleaned Data'!H92:H246)</f>
        <v>West</v>
      </c>
      <c r="K92" t="str">
        <f>_xlfn.XLOOKUP(B92,'Cleaned Data'!I92:I246,'Cleaned Data'!E92:E246)</f>
        <v>Home Office</v>
      </c>
    </row>
    <row r="93" spans="1:11" x14ac:dyDescent="0.35">
      <c r="A93" t="s">
        <v>299</v>
      </c>
      <c r="B93" t="s">
        <v>301</v>
      </c>
      <c r="C93" s="2">
        <v>348.20800000000003</v>
      </c>
      <c r="D93">
        <v>7</v>
      </c>
      <c r="E93" s="3">
        <v>0.2</v>
      </c>
      <c r="F93" s="4">
        <v>30.4682</v>
      </c>
      <c r="G93" t="str">
        <f>_xlfn.XLOOKUP(B93,'Cleaned Data'!I93:I247,'Cleaned Data'!L93:L247)</f>
        <v>Fellowes Mobile File Cart, Black</v>
      </c>
      <c r="H93" t="str">
        <f>_xlfn.XLOOKUP(B93,'Cleaned Data'!I93:I247,'Cleaned Data'!J93:J247)</f>
        <v>Office Supplies</v>
      </c>
      <c r="I93" t="str">
        <f>_xlfn.XLOOKUP(B93,'Cleaned Data'!I93:I247,'Cleaned Data'!K93:K247)</f>
        <v>Storage</v>
      </c>
      <c r="J93" t="str">
        <f>_xlfn.XLOOKUP(B93,'Cleaned Data'!I93:I247,'Cleaned Data'!H93:H247)</f>
        <v>South</v>
      </c>
      <c r="K93" t="str">
        <f>_xlfn.XLOOKUP(B93,'Cleaned Data'!I93:I247,'Cleaned Data'!E93:E247)</f>
        <v>Home Office</v>
      </c>
    </row>
    <row r="94" spans="1:11" x14ac:dyDescent="0.35">
      <c r="A94" t="s">
        <v>299</v>
      </c>
      <c r="B94" t="s">
        <v>303</v>
      </c>
      <c r="C94" s="2">
        <v>35.783999999999999</v>
      </c>
      <c r="D94">
        <v>7</v>
      </c>
      <c r="E94" s="3">
        <v>0.7</v>
      </c>
      <c r="F94" s="4">
        <v>-28.627199999999998</v>
      </c>
      <c r="G94" t="str">
        <f>_xlfn.XLOOKUP(B94,'Cleaned Data'!I94:I248,'Cleaned Data'!L94:L248)</f>
        <v>GBC Recycled VeloBinder Covers</v>
      </c>
      <c r="H94" t="str">
        <f>_xlfn.XLOOKUP(B94,'Cleaned Data'!I94:I248,'Cleaned Data'!J94:J248)</f>
        <v>Office Supplies</v>
      </c>
      <c r="I94" t="str">
        <f>_xlfn.XLOOKUP(B94,'Cleaned Data'!I94:I248,'Cleaned Data'!K94:K248)</f>
        <v>Binders</v>
      </c>
      <c r="J94" t="str">
        <f>_xlfn.XLOOKUP(B94,'Cleaned Data'!I94:I248,'Cleaned Data'!H94:H248)</f>
        <v>South</v>
      </c>
      <c r="K94" t="str">
        <f>_xlfn.XLOOKUP(B94,'Cleaned Data'!I94:I248,'Cleaned Data'!E94:E248)</f>
        <v>Home Office</v>
      </c>
    </row>
    <row r="95" spans="1:11" x14ac:dyDescent="0.35">
      <c r="A95" t="s">
        <v>423</v>
      </c>
      <c r="B95" t="s">
        <v>236</v>
      </c>
      <c r="C95" s="2">
        <v>14.4</v>
      </c>
      <c r="D95">
        <v>5</v>
      </c>
      <c r="E95" s="3">
        <v>0</v>
      </c>
      <c r="F95" s="4">
        <v>7.056</v>
      </c>
      <c r="G95" t="str">
        <f>_xlfn.XLOOKUP(B95,'Cleaned Data'!I95:I249,'Cleaned Data'!L95:L249)</f>
        <v>Avery Durable Binders</v>
      </c>
      <c r="H95" t="str">
        <f>_xlfn.XLOOKUP(B95,'Cleaned Data'!I95:I249,'Cleaned Data'!J95:J249)</f>
        <v>Office Supplies</v>
      </c>
      <c r="I95" t="str">
        <f>_xlfn.XLOOKUP(B95,'Cleaned Data'!I95:I249,'Cleaned Data'!K95:K249)</f>
        <v>Binders</v>
      </c>
      <c r="J95" t="str">
        <f>_xlfn.XLOOKUP(B95,'Cleaned Data'!I95:I249,'Cleaned Data'!H95:H249)</f>
        <v>Central</v>
      </c>
      <c r="K95" t="str">
        <f>_xlfn.XLOOKUP(B95,'Cleaned Data'!I95:I249,'Cleaned Data'!E95:E249)</f>
        <v>Home Office</v>
      </c>
    </row>
    <row r="96" spans="1:11" x14ac:dyDescent="0.35">
      <c r="A96" t="s">
        <v>423</v>
      </c>
      <c r="B96" t="s">
        <v>264</v>
      </c>
      <c r="C96" s="2">
        <v>619.95000000000005</v>
      </c>
      <c r="D96">
        <v>5</v>
      </c>
      <c r="E96" s="3">
        <v>0</v>
      </c>
      <c r="F96" s="4">
        <v>111.59099999999999</v>
      </c>
      <c r="G96" t="str">
        <f>_xlfn.XLOOKUP(B96,'Cleaned Data'!I96:I250,'Cleaned Data'!L96:L250)</f>
        <v>Logitech G19 Programmable Gaming Keyboard</v>
      </c>
      <c r="H96" t="str">
        <f>_xlfn.XLOOKUP(B96,'Cleaned Data'!I96:I250,'Cleaned Data'!J96:J250)</f>
        <v>Technology</v>
      </c>
      <c r="I96" t="str">
        <f>_xlfn.XLOOKUP(B96,'Cleaned Data'!I96:I250,'Cleaned Data'!K96:K250)</f>
        <v>Accessories</v>
      </c>
      <c r="J96" t="str">
        <f>_xlfn.XLOOKUP(B96,'Cleaned Data'!I96:I250,'Cleaned Data'!H96:H250)</f>
        <v>Central</v>
      </c>
      <c r="K96" t="str">
        <f>_xlfn.XLOOKUP(B96,'Cleaned Data'!I96:I250,'Cleaned Data'!E96:E250)</f>
        <v>Home Office</v>
      </c>
    </row>
    <row r="97" spans="1:11" x14ac:dyDescent="0.35">
      <c r="A97" t="s">
        <v>423</v>
      </c>
      <c r="B97" t="s">
        <v>424</v>
      </c>
      <c r="C97" s="2">
        <v>89.52</v>
      </c>
      <c r="D97">
        <v>4</v>
      </c>
      <c r="E97" s="3">
        <v>0</v>
      </c>
      <c r="F97" s="4">
        <v>42.074399999999997</v>
      </c>
      <c r="G97" t="str">
        <f>_xlfn.XLOOKUP(B97,'Cleaned Data'!I97:I251,'Cleaned Data'!L97:L251)</f>
        <v>Avery Flip-Chart Easel Binder, Black</v>
      </c>
      <c r="H97" t="str">
        <f>_xlfn.XLOOKUP(B97,'Cleaned Data'!I97:I251,'Cleaned Data'!J97:J251)</f>
        <v>Office Supplies</v>
      </c>
      <c r="I97" t="str">
        <f>_xlfn.XLOOKUP(B97,'Cleaned Data'!I97:I251,'Cleaned Data'!K97:K251)</f>
        <v>Binders</v>
      </c>
      <c r="J97" t="str">
        <f>_xlfn.XLOOKUP(B97,'Cleaned Data'!I97:I251,'Cleaned Data'!H97:H251)</f>
        <v>Central</v>
      </c>
      <c r="K97" t="str">
        <f>_xlfn.XLOOKUP(B97,'Cleaned Data'!I97:I251,'Cleaned Data'!E97:E251)</f>
        <v>Home Office</v>
      </c>
    </row>
    <row r="98" spans="1:11" x14ac:dyDescent="0.35">
      <c r="A98" t="s">
        <v>423</v>
      </c>
      <c r="B98" t="s">
        <v>426</v>
      </c>
      <c r="C98" s="2">
        <v>350.97300000000001</v>
      </c>
      <c r="D98">
        <v>3</v>
      </c>
      <c r="E98" s="3">
        <v>0.1</v>
      </c>
      <c r="F98" s="4">
        <v>152.0883</v>
      </c>
      <c r="G98" t="str">
        <f>_xlfn.XLOOKUP(B98,'Cleaned Data'!I98:I252,'Cleaned Data'!L98:L252)</f>
        <v>I.R.I.S IRISCard Anywhere 5 Card Scanner</v>
      </c>
      <c r="H98" t="str">
        <f>_xlfn.XLOOKUP(B98,'Cleaned Data'!I98:I252,'Cleaned Data'!J98:J252)</f>
        <v>Technology</v>
      </c>
      <c r="I98" t="str">
        <f>_xlfn.XLOOKUP(B98,'Cleaned Data'!I98:I252,'Cleaned Data'!K98:K252)</f>
        <v>Machines</v>
      </c>
      <c r="J98" t="str">
        <f>_xlfn.XLOOKUP(B98,'Cleaned Data'!I98:I252,'Cleaned Data'!H98:H252)</f>
        <v>Central</v>
      </c>
      <c r="K98" t="str">
        <f>_xlfn.XLOOKUP(B98,'Cleaned Data'!I98:I252,'Cleaned Data'!E98:E252)</f>
        <v>Home Office</v>
      </c>
    </row>
    <row r="99" spans="1:11" x14ac:dyDescent="0.35">
      <c r="A99" t="s">
        <v>423</v>
      </c>
      <c r="B99" t="s">
        <v>428</v>
      </c>
      <c r="C99" s="2">
        <v>164.99</v>
      </c>
      <c r="D99">
        <v>1</v>
      </c>
      <c r="E99" s="3">
        <v>0</v>
      </c>
      <c r="F99" s="4">
        <v>49.497</v>
      </c>
      <c r="G99" t="str">
        <f>_xlfn.XLOOKUP(B99,'Cleaned Data'!I99:I253,'Cleaned Data'!L99:L253)</f>
        <v>Ativa D5772 2-Line 5.8GHz Digital Expandable Corded/Cordless Phone System with Answering &amp; Caller ID/Call Waiting, Black/Silver</v>
      </c>
      <c r="H99" t="str">
        <f>_xlfn.XLOOKUP(B99,'Cleaned Data'!I99:I253,'Cleaned Data'!J99:J253)</f>
        <v>Technology</v>
      </c>
      <c r="I99" t="str">
        <f>_xlfn.XLOOKUP(B99,'Cleaned Data'!I99:I253,'Cleaned Data'!K99:K253)</f>
        <v>Phones</v>
      </c>
      <c r="J99" t="str">
        <f>_xlfn.XLOOKUP(B99,'Cleaned Data'!I99:I253,'Cleaned Data'!H99:H253)</f>
        <v>Central</v>
      </c>
      <c r="K99" t="str">
        <f>_xlfn.XLOOKUP(B99,'Cleaned Data'!I99:I253,'Cleaned Data'!E99:E253)</f>
        <v>Home Office</v>
      </c>
    </row>
    <row r="100" spans="1:11" x14ac:dyDescent="0.35">
      <c r="A100" t="s">
        <v>539</v>
      </c>
      <c r="B100" t="s">
        <v>213</v>
      </c>
      <c r="C100" s="2">
        <v>268.57600000000002</v>
      </c>
      <c r="D100">
        <v>4</v>
      </c>
      <c r="E100" s="3">
        <v>0.2</v>
      </c>
      <c r="F100" s="4">
        <v>90.644400000000005</v>
      </c>
      <c r="G100" t="str">
        <f>_xlfn.XLOOKUP(B100,'Cleaned Data'!I100:I254,'Cleaned Data'!L100:L254)</f>
        <v>Airmail Envelopes</v>
      </c>
      <c r="H100" t="str">
        <f>_xlfn.XLOOKUP(B100,'Cleaned Data'!I100:I254,'Cleaned Data'!J100:J254)</f>
        <v>Office Supplies</v>
      </c>
      <c r="I100" t="str">
        <f>_xlfn.XLOOKUP(B100,'Cleaned Data'!I100:I254,'Cleaned Data'!K100:K254)</f>
        <v>Envelopes</v>
      </c>
      <c r="J100" t="str">
        <f>_xlfn.XLOOKUP(B100,'Cleaned Data'!I100:I254,'Cleaned Data'!H100:H254)</f>
        <v>Central</v>
      </c>
      <c r="K100" t="str">
        <f>_xlfn.XLOOKUP(B100,'Cleaned Data'!I100:I254,'Cleaned Data'!E100:E254)</f>
        <v>Consumer</v>
      </c>
    </row>
    <row r="101" spans="1:11" x14ac:dyDescent="0.35">
      <c r="A101" t="s">
        <v>183</v>
      </c>
      <c r="B101" t="s">
        <v>186</v>
      </c>
      <c r="C101" s="2">
        <v>2999.95</v>
      </c>
      <c r="D101">
        <v>5</v>
      </c>
      <c r="E101" s="3">
        <v>0</v>
      </c>
      <c r="F101" s="4">
        <v>1379.9770000000001</v>
      </c>
      <c r="G101" t="str">
        <f>_xlfn.XLOOKUP(B101,'Cleaned Data'!I101:I255,'Cleaned Data'!L101:L255)</f>
        <v>Canon Image Class D660 Copier</v>
      </c>
      <c r="H101" t="str">
        <f>_xlfn.XLOOKUP(B101,'Cleaned Data'!I101:I255,'Cleaned Data'!J101:J255)</f>
        <v>Technology</v>
      </c>
      <c r="I101" t="str">
        <f>_xlfn.XLOOKUP(B101,'Cleaned Data'!I101:I255,'Cleaned Data'!K101:K255)</f>
        <v>Copiers</v>
      </c>
      <c r="J101" t="str">
        <f>_xlfn.XLOOKUP(B101,'Cleaned Data'!I101:I255,'Cleaned Data'!H101:H255)</f>
        <v>West</v>
      </c>
      <c r="K101" t="str">
        <f>_xlfn.XLOOKUP(B101,'Cleaned Data'!I101:I255,'Cleaned Data'!E101:E255)</f>
        <v>Home Office</v>
      </c>
    </row>
    <row r="102" spans="1:11" x14ac:dyDescent="0.35">
      <c r="A102" t="s">
        <v>183</v>
      </c>
      <c r="B102" t="s">
        <v>188</v>
      </c>
      <c r="C102" s="2">
        <v>51.45</v>
      </c>
      <c r="D102">
        <v>3</v>
      </c>
      <c r="E102" s="3">
        <v>0</v>
      </c>
      <c r="F102" s="4">
        <v>13.891500000000001</v>
      </c>
      <c r="G102" t="str">
        <f>_xlfn.XLOOKUP(B102,'Cleaned Data'!I102:I256,'Cleaned Data'!L102:L256)</f>
        <v>Advantus Rolling Storage Box</v>
      </c>
      <c r="H102" t="str">
        <f>_xlfn.XLOOKUP(B102,'Cleaned Data'!I102:I256,'Cleaned Data'!J102:J256)</f>
        <v>Office Supplies</v>
      </c>
      <c r="I102" t="str">
        <f>_xlfn.XLOOKUP(B102,'Cleaned Data'!I102:I256,'Cleaned Data'!K102:K256)</f>
        <v>Storage</v>
      </c>
      <c r="J102" t="str">
        <f>_xlfn.XLOOKUP(B102,'Cleaned Data'!I102:I256,'Cleaned Data'!H102:H256)</f>
        <v>West</v>
      </c>
      <c r="K102" t="str">
        <f>_xlfn.XLOOKUP(B102,'Cleaned Data'!I102:I256,'Cleaned Data'!E102:E256)</f>
        <v>Home Office</v>
      </c>
    </row>
    <row r="103" spans="1:11" x14ac:dyDescent="0.35">
      <c r="A103" t="s">
        <v>183</v>
      </c>
      <c r="B103" t="s">
        <v>190</v>
      </c>
      <c r="C103" s="2">
        <v>11.96</v>
      </c>
      <c r="D103">
        <v>2</v>
      </c>
      <c r="E103" s="3">
        <v>0</v>
      </c>
      <c r="F103" s="4">
        <v>5.3819999999999997</v>
      </c>
      <c r="G103" t="str">
        <f>_xlfn.XLOOKUP(B103,'Cleaned Data'!I103:I257,'Cleaned Data'!L103:L257)</f>
        <v>Great White Multi-Use Recycled Paper (20Lb. and 84 Bright)</v>
      </c>
      <c r="H103" t="str">
        <f>_xlfn.XLOOKUP(B103,'Cleaned Data'!I103:I257,'Cleaned Data'!J103:J257)</f>
        <v>Office Supplies</v>
      </c>
      <c r="I103" t="str">
        <f>_xlfn.XLOOKUP(B103,'Cleaned Data'!I103:I257,'Cleaned Data'!K103:K257)</f>
        <v>Paper</v>
      </c>
      <c r="J103" t="str">
        <f>_xlfn.XLOOKUP(B103,'Cleaned Data'!I103:I257,'Cleaned Data'!H103:H257)</f>
        <v>West</v>
      </c>
      <c r="K103" t="str">
        <f>_xlfn.XLOOKUP(B103,'Cleaned Data'!I103:I257,'Cleaned Data'!E103:E257)</f>
        <v>Home Office</v>
      </c>
    </row>
    <row r="104" spans="1:11" x14ac:dyDescent="0.35">
      <c r="A104" t="s">
        <v>183</v>
      </c>
      <c r="B104" t="s">
        <v>192</v>
      </c>
      <c r="C104" s="2">
        <v>1126.02</v>
      </c>
      <c r="D104">
        <v>3</v>
      </c>
      <c r="E104" s="3">
        <v>0</v>
      </c>
      <c r="F104" s="4">
        <v>56.301000000000002</v>
      </c>
      <c r="G104" t="str">
        <f>_xlfn.XLOOKUP(B104,'Cleaned Data'!I104:I258,'Cleaned Data'!L104:L258)</f>
        <v>Tennsco Single-Tier Lockers</v>
      </c>
      <c r="H104" t="str">
        <f>_xlfn.XLOOKUP(B104,'Cleaned Data'!I104:I258,'Cleaned Data'!J104:J258)</f>
        <v>Office Supplies</v>
      </c>
      <c r="I104" t="str">
        <f>_xlfn.XLOOKUP(B104,'Cleaned Data'!I104:I258,'Cleaned Data'!K104:K258)</f>
        <v>Storage</v>
      </c>
      <c r="J104" t="str">
        <f>_xlfn.XLOOKUP(B104,'Cleaned Data'!I104:I258,'Cleaned Data'!H104:H258)</f>
        <v>West</v>
      </c>
      <c r="K104" t="str">
        <f>_xlfn.XLOOKUP(B104,'Cleaned Data'!I104:I258,'Cleaned Data'!E104:E258)</f>
        <v>Home Office</v>
      </c>
    </row>
    <row r="105" spans="1:11" x14ac:dyDescent="0.35">
      <c r="A105" t="s">
        <v>525</v>
      </c>
      <c r="B105" t="s">
        <v>388</v>
      </c>
      <c r="C105" s="2">
        <v>15.12</v>
      </c>
      <c r="D105">
        <v>5</v>
      </c>
      <c r="E105" s="3">
        <v>0.2</v>
      </c>
      <c r="F105" s="4">
        <v>4.9139999999999997</v>
      </c>
      <c r="G105" t="str">
        <f>_xlfn.XLOOKUP(B105,'Cleaned Data'!I105:I259,'Cleaned Data'!L105:L259)</f>
        <v>Staples</v>
      </c>
      <c r="H105" t="str">
        <f>_xlfn.XLOOKUP(B105,'Cleaned Data'!I105:I259,'Cleaned Data'!J105:J259)</f>
        <v>Office Supplies</v>
      </c>
      <c r="I105" t="str">
        <f>_xlfn.XLOOKUP(B105,'Cleaned Data'!I105:I259,'Cleaned Data'!K105:K259)</f>
        <v>Fasteners</v>
      </c>
      <c r="J105" t="str">
        <f>_xlfn.XLOOKUP(B105,'Cleaned Data'!I105:I259,'Cleaned Data'!H105:H259)</f>
        <v>Central</v>
      </c>
      <c r="K105" t="str">
        <f>_xlfn.XLOOKUP(B105,'Cleaned Data'!I105:I259,'Cleaned Data'!E105:E259)</f>
        <v>Corporate</v>
      </c>
    </row>
    <row r="106" spans="1:11" x14ac:dyDescent="0.35">
      <c r="A106" t="s">
        <v>525</v>
      </c>
      <c r="B106" t="s">
        <v>466</v>
      </c>
      <c r="C106" s="2">
        <v>7.8719999999999999</v>
      </c>
      <c r="D106">
        <v>3</v>
      </c>
      <c r="E106" s="3">
        <v>0.2</v>
      </c>
      <c r="F106" s="4">
        <v>0.88560000000000005</v>
      </c>
      <c r="G106" t="str">
        <f>_xlfn.XLOOKUP(B106,'Cleaned Data'!I106:I260,'Cleaned Data'!L106:L260)</f>
        <v>Newell 348</v>
      </c>
      <c r="H106" t="str">
        <f>_xlfn.XLOOKUP(B106,'Cleaned Data'!I106:I260,'Cleaned Data'!J106:J260)</f>
        <v>Office Supplies</v>
      </c>
      <c r="I106" t="str">
        <f>_xlfn.XLOOKUP(B106,'Cleaned Data'!I106:I260,'Cleaned Data'!K106:K260)</f>
        <v>Art</v>
      </c>
      <c r="J106" t="str">
        <f>_xlfn.XLOOKUP(B106,'Cleaned Data'!I106:I260,'Cleaned Data'!H106:H260)</f>
        <v>Central</v>
      </c>
      <c r="K106" t="str">
        <f>_xlfn.XLOOKUP(B106,'Cleaned Data'!I106:I260,'Cleaned Data'!E106:E260)</f>
        <v>Corporate</v>
      </c>
    </row>
    <row r="107" spans="1:11" x14ac:dyDescent="0.35">
      <c r="A107" t="s">
        <v>196</v>
      </c>
      <c r="B107" t="s">
        <v>177</v>
      </c>
      <c r="C107" s="2">
        <v>210.98</v>
      </c>
      <c r="D107">
        <v>2</v>
      </c>
      <c r="E107" s="3">
        <v>0</v>
      </c>
      <c r="F107" s="4">
        <v>21.097999999999999</v>
      </c>
      <c r="G107" t="str">
        <f>_xlfn.XLOOKUP(B107,'Cleaned Data'!I107:I261,'Cleaned Data'!L107:L261)</f>
        <v>Balt Solid Wood Rectangular Table</v>
      </c>
      <c r="H107" t="str">
        <f>_xlfn.XLOOKUP(B107,'Cleaned Data'!I107:I261,'Cleaned Data'!J107:J261)</f>
        <v>Furniture</v>
      </c>
      <c r="I107" t="str">
        <f>_xlfn.XLOOKUP(B107,'Cleaned Data'!I107:I261,'Cleaned Data'!K107:K261)</f>
        <v>Tables</v>
      </c>
      <c r="J107" t="str">
        <f>_xlfn.XLOOKUP(B107,'Cleaned Data'!I107:I261,'Cleaned Data'!H107:H261)</f>
        <v>Central</v>
      </c>
      <c r="K107" t="str">
        <f>_xlfn.XLOOKUP(B107,'Cleaned Data'!I107:I261,'Cleaned Data'!E107:E261)</f>
        <v>Corporate</v>
      </c>
    </row>
    <row r="108" spans="1:11" x14ac:dyDescent="0.35">
      <c r="A108" t="s">
        <v>505</v>
      </c>
      <c r="B108" t="s">
        <v>381</v>
      </c>
      <c r="C108" s="2">
        <v>19.68</v>
      </c>
      <c r="D108">
        <v>5</v>
      </c>
      <c r="E108" s="3">
        <v>0.2</v>
      </c>
      <c r="F108" s="4">
        <v>6.8879999999999999</v>
      </c>
      <c r="G108" t="str">
        <f>_xlfn.XLOOKUP(B108,'Cleaned Data'!I108:I262,'Cleaned Data'!L108:L262)</f>
        <v>Pressboard Hanging Data Binders for Unburst Sheets</v>
      </c>
      <c r="H108" t="str">
        <f>_xlfn.XLOOKUP(B108,'Cleaned Data'!I108:I262,'Cleaned Data'!J108:J262)</f>
        <v>Office Supplies</v>
      </c>
      <c r="I108" t="str">
        <f>_xlfn.XLOOKUP(B108,'Cleaned Data'!I108:I262,'Cleaned Data'!K108:K262)</f>
        <v>Binders</v>
      </c>
      <c r="J108" t="str">
        <f>_xlfn.XLOOKUP(B108,'Cleaned Data'!I108:I262,'Cleaned Data'!H108:H262)</f>
        <v>West</v>
      </c>
      <c r="K108" t="str">
        <f>_xlfn.XLOOKUP(B108,'Cleaned Data'!I108:I262,'Cleaned Data'!E108:E262)</f>
        <v>Corporate</v>
      </c>
    </row>
    <row r="109" spans="1:11" x14ac:dyDescent="0.35">
      <c r="A109" t="s">
        <v>505</v>
      </c>
      <c r="B109" t="s">
        <v>280</v>
      </c>
      <c r="C109" s="2">
        <v>25.92</v>
      </c>
      <c r="D109">
        <v>4</v>
      </c>
      <c r="E109" s="3">
        <v>0</v>
      </c>
      <c r="F109" s="4">
        <v>12.441599999999999</v>
      </c>
      <c r="G109" t="str">
        <f>_xlfn.XLOOKUP(B109,'Cleaned Data'!I109:I263,'Cleaned Data'!L109:L263)</f>
        <v>Xerox 212</v>
      </c>
      <c r="H109" t="str">
        <f>_xlfn.XLOOKUP(B109,'Cleaned Data'!I109:I263,'Cleaned Data'!J109:J263)</f>
        <v>Office Supplies</v>
      </c>
      <c r="I109" t="str">
        <f>_xlfn.XLOOKUP(B109,'Cleaned Data'!I109:I263,'Cleaned Data'!K109:K263)</f>
        <v>Paper</v>
      </c>
      <c r="J109" t="str">
        <f>_xlfn.XLOOKUP(B109,'Cleaned Data'!I109:I263,'Cleaned Data'!H109:H263)</f>
        <v>West</v>
      </c>
      <c r="K109" t="str">
        <f>_xlfn.XLOOKUP(B109,'Cleaned Data'!I109:I263,'Cleaned Data'!E109:E263)</f>
        <v>Corporate</v>
      </c>
    </row>
    <row r="110" spans="1:11" x14ac:dyDescent="0.35">
      <c r="A110" t="s">
        <v>505</v>
      </c>
      <c r="B110" t="s">
        <v>345</v>
      </c>
      <c r="C110" s="2">
        <v>6.48</v>
      </c>
      <c r="D110">
        <v>1</v>
      </c>
      <c r="E110" s="3">
        <v>0</v>
      </c>
      <c r="F110" s="4">
        <v>3.1103999999999998</v>
      </c>
      <c r="G110" t="str">
        <f>_xlfn.XLOOKUP(B110,'Cleaned Data'!I110:I264,'Cleaned Data'!L110:L264)</f>
        <v>Xerox 192</v>
      </c>
      <c r="H110" t="str">
        <f>_xlfn.XLOOKUP(B110,'Cleaned Data'!I110:I264,'Cleaned Data'!J110:J264)</f>
        <v>Office Supplies</v>
      </c>
      <c r="I110" t="str">
        <f>_xlfn.XLOOKUP(B110,'Cleaned Data'!I110:I264,'Cleaned Data'!K110:K264)</f>
        <v>Paper</v>
      </c>
      <c r="J110" t="str">
        <f>_xlfn.XLOOKUP(B110,'Cleaned Data'!I110:I264,'Cleaned Data'!H110:H264)</f>
        <v>West</v>
      </c>
      <c r="K110" t="str">
        <f>_xlfn.XLOOKUP(B110,'Cleaned Data'!I110:I264,'Cleaned Data'!E110:E264)</f>
        <v>Corporate</v>
      </c>
    </row>
    <row r="111" spans="1:11" x14ac:dyDescent="0.35">
      <c r="A111" t="s">
        <v>505</v>
      </c>
      <c r="B111" t="s">
        <v>501</v>
      </c>
      <c r="C111" s="2">
        <v>86.352000000000004</v>
      </c>
      <c r="D111">
        <v>6</v>
      </c>
      <c r="E111" s="3">
        <v>0.2</v>
      </c>
      <c r="F111" s="4">
        <v>8.6351999999999993</v>
      </c>
      <c r="G111" t="str">
        <f>_xlfn.XLOOKUP(B111,'Cleaned Data'!I111:I265,'Cleaned Data'!L111:L265)</f>
        <v>Griffin GC17055 Auxiliary Audio Cable</v>
      </c>
      <c r="H111" t="str">
        <f>_xlfn.XLOOKUP(B111,'Cleaned Data'!I111:I265,'Cleaned Data'!J111:J265)</f>
        <v>Technology</v>
      </c>
      <c r="I111" t="str">
        <f>_xlfn.XLOOKUP(B111,'Cleaned Data'!I111:I265,'Cleaned Data'!K111:K265)</f>
        <v>Phones</v>
      </c>
      <c r="J111" t="str">
        <f>_xlfn.XLOOKUP(B111,'Cleaned Data'!I111:I265,'Cleaned Data'!H111:H265)</f>
        <v>West</v>
      </c>
      <c r="K111" t="str">
        <f>_xlfn.XLOOKUP(B111,'Cleaned Data'!I111:I265,'Cleaned Data'!E111:E265)</f>
        <v>Corporate</v>
      </c>
    </row>
    <row r="112" spans="1:11" x14ac:dyDescent="0.35">
      <c r="A112" t="s">
        <v>537</v>
      </c>
      <c r="B112" t="s">
        <v>456</v>
      </c>
      <c r="C112" s="2">
        <v>95.983999999999995</v>
      </c>
      <c r="D112">
        <v>2</v>
      </c>
      <c r="E112" s="3">
        <v>0.2</v>
      </c>
      <c r="F112" s="4">
        <v>11.997999999999999</v>
      </c>
      <c r="G112" t="str">
        <f>_xlfn.XLOOKUP(B112,'Cleaned Data'!I112:I266,'Cleaned Data'!L112:L266)</f>
        <v>Logitech Wireless Anywhere Mouse MX for PC and Mac</v>
      </c>
      <c r="H112" t="str">
        <f>_xlfn.XLOOKUP(B112,'Cleaned Data'!I112:I266,'Cleaned Data'!J112:J266)</f>
        <v>Technology</v>
      </c>
      <c r="I112" t="str">
        <f>_xlfn.XLOOKUP(B112,'Cleaned Data'!I112:I266,'Cleaned Data'!K112:K266)</f>
        <v>Accessories</v>
      </c>
      <c r="J112" t="str">
        <f>_xlfn.XLOOKUP(B112,'Cleaned Data'!I112:I266,'Cleaned Data'!H112:H266)</f>
        <v>West</v>
      </c>
      <c r="K112" t="str">
        <f>_xlfn.XLOOKUP(B112,'Cleaned Data'!I112:I266,'Cleaned Data'!E112:E266)</f>
        <v>Home Office</v>
      </c>
    </row>
    <row r="113" spans="1:11" x14ac:dyDescent="0.35">
      <c r="A113" t="s">
        <v>537</v>
      </c>
      <c r="B113" t="s">
        <v>400</v>
      </c>
      <c r="C113" s="2">
        <v>4.9379999999999997</v>
      </c>
      <c r="D113">
        <v>2</v>
      </c>
      <c r="E113" s="3">
        <v>0.7</v>
      </c>
      <c r="F113" s="4">
        <v>-3.6212</v>
      </c>
      <c r="G113" t="str">
        <f>_xlfn.XLOOKUP(B113,'Cleaned Data'!I113:I267,'Cleaned Data'!L113:L267)</f>
        <v>Wilson Jones data.warehouse D-Ring Binders with DublLock</v>
      </c>
      <c r="H113" t="str">
        <f>_xlfn.XLOOKUP(B113,'Cleaned Data'!I113:I267,'Cleaned Data'!J113:J267)</f>
        <v>Office Supplies</v>
      </c>
      <c r="I113" t="str">
        <f>_xlfn.XLOOKUP(B113,'Cleaned Data'!I113:I267,'Cleaned Data'!K113:K267)</f>
        <v>Binders</v>
      </c>
      <c r="J113" t="str">
        <f>_xlfn.XLOOKUP(B113,'Cleaned Data'!I113:I267,'Cleaned Data'!H113:H267)</f>
        <v>West</v>
      </c>
      <c r="K113" t="str">
        <f>_xlfn.XLOOKUP(B113,'Cleaned Data'!I113:I267,'Cleaned Data'!E113:E267)</f>
        <v>Home Office</v>
      </c>
    </row>
    <row r="114" spans="1:11" x14ac:dyDescent="0.35">
      <c r="A114" t="s">
        <v>412</v>
      </c>
      <c r="B114" t="s">
        <v>332</v>
      </c>
      <c r="C114" s="2">
        <v>5.67</v>
      </c>
      <c r="D114">
        <v>3</v>
      </c>
      <c r="E114" s="3">
        <v>0</v>
      </c>
      <c r="F114" s="4">
        <v>0.1134</v>
      </c>
      <c r="G114" t="str">
        <f>_xlfn.XLOOKUP(B114,'Cleaned Data'!I114:I268,'Cleaned Data'!L114:L268)</f>
        <v>Revere Boxed Rubber Bands by Revere</v>
      </c>
      <c r="H114" t="str">
        <f>_xlfn.XLOOKUP(B114,'Cleaned Data'!I114:I268,'Cleaned Data'!J114:J268)</f>
        <v>Office Supplies</v>
      </c>
      <c r="I114" t="str">
        <f>_xlfn.XLOOKUP(B114,'Cleaned Data'!I114:I268,'Cleaned Data'!K114:K268)</f>
        <v>Fasteners</v>
      </c>
      <c r="J114" t="str">
        <f>_xlfn.XLOOKUP(B114,'Cleaned Data'!I114:I268,'Cleaned Data'!H114:H268)</f>
        <v>South</v>
      </c>
      <c r="K114" t="str">
        <f>_xlfn.XLOOKUP(B114,'Cleaned Data'!I114:I268,'Cleaned Data'!E114:E268)</f>
        <v>Consumer</v>
      </c>
    </row>
    <row r="115" spans="1:11" x14ac:dyDescent="0.35">
      <c r="A115" t="s">
        <v>536</v>
      </c>
      <c r="B115" t="s">
        <v>51</v>
      </c>
      <c r="C115" s="2">
        <v>25.86</v>
      </c>
      <c r="D115">
        <v>3</v>
      </c>
      <c r="E115" s="3">
        <v>0</v>
      </c>
      <c r="F115" s="4">
        <v>6.7236000000000002</v>
      </c>
      <c r="G115" t="str">
        <f>_xlfn.XLOOKUP(B115,'Cleaned Data'!I115:I269,'Cleaned Data'!L115:L269)</f>
        <v>Acco Six-Outlet Power Strip, 4' Cord Length</v>
      </c>
      <c r="H115" t="str">
        <f>_xlfn.XLOOKUP(B115,'Cleaned Data'!I115:I269,'Cleaned Data'!J115:J269)</f>
        <v>Office Supplies</v>
      </c>
      <c r="I115" t="str">
        <f>_xlfn.XLOOKUP(B115,'Cleaned Data'!I115:I269,'Cleaned Data'!K115:K269)</f>
        <v>Appliances</v>
      </c>
      <c r="J115" t="str">
        <f>_xlfn.XLOOKUP(B115,'Cleaned Data'!I115:I269,'Cleaned Data'!H115:H269)</f>
        <v>West</v>
      </c>
      <c r="K115" t="str">
        <f>_xlfn.XLOOKUP(B115,'Cleaned Data'!I115:I269,'Cleaned Data'!E115:E269)</f>
        <v>Corporate</v>
      </c>
    </row>
    <row r="116" spans="1:11" x14ac:dyDescent="0.35">
      <c r="A116" t="s">
        <v>536</v>
      </c>
      <c r="B116" t="s">
        <v>460</v>
      </c>
      <c r="C116" s="2">
        <v>276.78399999999999</v>
      </c>
      <c r="D116">
        <v>2</v>
      </c>
      <c r="E116" s="3">
        <v>0.2</v>
      </c>
      <c r="F116" s="4">
        <v>89.954800000000006</v>
      </c>
      <c r="G116" t="str">
        <f>_xlfn.XLOOKUP(B116,'Cleaned Data'!I116:I270,'Cleaned Data'!L116:L270)</f>
        <v>Ibico EB-19 Dual Function Manual Binding System</v>
      </c>
      <c r="H116" t="str">
        <f>_xlfn.XLOOKUP(B116,'Cleaned Data'!I116:I270,'Cleaned Data'!J116:J270)</f>
        <v>Office Supplies</v>
      </c>
      <c r="I116" t="str">
        <f>_xlfn.XLOOKUP(B116,'Cleaned Data'!I116:I270,'Cleaned Data'!K116:K270)</f>
        <v>Binders</v>
      </c>
      <c r="J116" t="str">
        <f>_xlfn.XLOOKUP(B116,'Cleaned Data'!I116:I270,'Cleaned Data'!H116:H270)</f>
        <v>West</v>
      </c>
      <c r="K116" t="str">
        <f>_xlfn.XLOOKUP(B116,'Cleaned Data'!I116:I270,'Cleaned Data'!E116:E270)</f>
        <v>Corporate</v>
      </c>
    </row>
    <row r="117" spans="1:11" x14ac:dyDescent="0.35">
      <c r="A117" t="s">
        <v>536</v>
      </c>
      <c r="B117" t="s">
        <v>477</v>
      </c>
      <c r="C117" s="2">
        <v>110.352</v>
      </c>
      <c r="D117">
        <v>3</v>
      </c>
      <c r="E117" s="3">
        <v>0.2</v>
      </c>
      <c r="F117" s="4">
        <v>8.2764000000000006</v>
      </c>
      <c r="G117" t="str">
        <f>_xlfn.XLOOKUP(B117,'Cleaned Data'!I117:I271,'Cleaned Data'!L117:L271)</f>
        <v>Jensen SMPS-640 - speaker phone</v>
      </c>
      <c r="H117" t="str">
        <f>_xlfn.XLOOKUP(B117,'Cleaned Data'!I117:I271,'Cleaned Data'!J117:J271)</f>
        <v>Technology</v>
      </c>
      <c r="I117" t="str">
        <f>_xlfn.XLOOKUP(B117,'Cleaned Data'!I117:I271,'Cleaned Data'!K117:K271)</f>
        <v>Phones</v>
      </c>
      <c r="J117" t="str">
        <f>_xlfn.XLOOKUP(B117,'Cleaned Data'!I117:I271,'Cleaned Data'!H117:H271)</f>
        <v>West</v>
      </c>
      <c r="K117" t="str">
        <f>_xlfn.XLOOKUP(B117,'Cleaned Data'!I117:I271,'Cleaned Data'!E117:E271)</f>
        <v>Corporate</v>
      </c>
    </row>
    <row r="118" spans="1:11" x14ac:dyDescent="0.35">
      <c r="A118" t="s">
        <v>437</v>
      </c>
      <c r="B118" t="s">
        <v>111</v>
      </c>
      <c r="C118" s="2">
        <v>15.47</v>
      </c>
      <c r="D118">
        <v>7</v>
      </c>
      <c r="E118" s="3">
        <v>0</v>
      </c>
      <c r="F118" s="4">
        <v>4.1768999999999998</v>
      </c>
      <c r="G118" t="str">
        <f>_xlfn.XLOOKUP(B118,'Cleaned Data'!I118:I272,'Cleaned Data'!L118:L272)</f>
        <v>Newell 311</v>
      </c>
      <c r="H118" t="str">
        <f>_xlfn.XLOOKUP(B118,'Cleaned Data'!I118:I272,'Cleaned Data'!J118:J272)</f>
        <v>Office Supplies</v>
      </c>
      <c r="I118" t="str">
        <f>_xlfn.XLOOKUP(B118,'Cleaned Data'!I118:I272,'Cleaned Data'!K118:K272)</f>
        <v>Art</v>
      </c>
      <c r="J118" t="str">
        <f>_xlfn.XLOOKUP(B118,'Cleaned Data'!I118:I272,'Cleaned Data'!H118:H272)</f>
        <v>South</v>
      </c>
      <c r="K118" t="str">
        <f>_xlfn.XLOOKUP(B118,'Cleaned Data'!I118:I272,'Cleaned Data'!E118:E272)</f>
        <v>Corporate</v>
      </c>
    </row>
    <row r="119" spans="1:11" x14ac:dyDescent="0.35">
      <c r="A119" t="s">
        <v>437</v>
      </c>
      <c r="B119" t="s">
        <v>120</v>
      </c>
      <c r="C119" s="2">
        <v>7.16</v>
      </c>
      <c r="D119">
        <v>2</v>
      </c>
      <c r="E119" s="3">
        <v>0</v>
      </c>
      <c r="F119" s="4">
        <v>3.4367999999999999</v>
      </c>
      <c r="G119" t="str">
        <f>_xlfn.XLOOKUP(B119,'Cleaned Data'!I119:I273,'Cleaned Data'!L119:L273)</f>
        <v>Avery Poly Binder Pockets</v>
      </c>
      <c r="H119" t="str">
        <f>_xlfn.XLOOKUP(B119,'Cleaned Data'!I119:I273,'Cleaned Data'!J119:J273)</f>
        <v>Office Supplies</v>
      </c>
      <c r="I119" t="str">
        <f>_xlfn.XLOOKUP(B119,'Cleaned Data'!I119:I273,'Cleaned Data'!K119:K273)</f>
        <v>Binders</v>
      </c>
      <c r="J119" t="str">
        <f>_xlfn.XLOOKUP(B119,'Cleaned Data'!I119:I273,'Cleaned Data'!H119:H273)</f>
        <v>South</v>
      </c>
      <c r="K119" t="str">
        <f>_xlfn.XLOOKUP(B119,'Cleaned Data'!I119:I273,'Cleaned Data'!E119:E273)</f>
        <v>Corporate</v>
      </c>
    </row>
    <row r="120" spans="1:11" x14ac:dyDescent="0.35">
      <c r="A120" t="s">
        <v>498</v>
      </c>
      <c r="B120" t="s">
        <v>81</v>
      </c>
      <c r="C120" s="2">
        <v>18.16</v>
      </c>
      <c r="D120">
        <v>2</v>
      </c>
      <c r="E120" s="3">
        <v>0.2</v>
      </c>
      <c r="F120" s="4">
        <v>1.8160000000000001</v>
      </c>
      <c r="G120" t="str">
        <f>_xlfn.XLOOKUP(B120,'Cleaned Data'!I120:I274,'Cleaned Data'!L120:L274)</f>
        <v>SimpliFile Personal File, Black Granite, 15w x 6-15/16d x 11-1/4h</v>
      </c>
      <c r="H120" t="str">
        <f>_xlfn.XLOOKUP(B120,'Cleaned Data'!I120:I274,'Cleaned Data'!J120:J274)</f>
        <v>Office Supplies</v>
      </c>
      <c r="I120" t="str">
        <f>_xlfn.XLOOKUP(B120,'Cleaned Data'!I120:I274,'Cleaned Data'!K120:K274)</f>
        <v>Storage</v>
      </c>
      <c r="J120" t="str">
        <f>_xlfn.XLOOKUP(B120,'Cleaned Data'!I120:I274,'Cleaned Data'!H120:H274)</f>
        <v>Central</v>
      </c>
      <c r="K120" t="str">
        <f>_xlfn.XLOOKUP(B120,'Cleaned Data'!I120:I274,'Cleaned Data'!E120:E274)</f>
        <v>Consumer</v>
      </c>
    </row>
    <row r="121" spans="1:11" x14ac:dyDescent="0.35">
      <c r="A121" t="s">
        <v>524</v>
      </c>
      <c r="B121" t="s">
        <v>358</v>
      </c>
      <c r="C121" s="2">
        <v>11.84</v>
      </c>
      <c r="D121">
        <v>8</v>
      </c>
      <c r="E121" s="3">
        <v>0</v>
      </c>
      <c r="F121" s="4">
        <v>5.6832000000000003</v>
      </c>
      <c r="G121" t="str">
        <f>_xlfn.XLOOKUP(B121,'Cleaned Data'!I121:I275,'Cleaned Data'!L121:L275)</f>
        <v>Binder Clips by OIC</v>
      </c>
      <c r="H121" t="str">
        <f>_xlfn.XLOOKUP(B121,'Cleaned Data'!I121:I275,'Cleaned Data'!J121:J275)</f>
        <v>Office Supplies</v>
      </c>
      <c r="I121" t="str">
        <f>_xlfn.XLOOKUP(B121,'Cleaned Data'!I121:I275,'Cleaned Data'!K121:K275)</f>
        <v>Fasteners</v>
      </c>
      <c r="J121" t="str">
        <f>_xlfn.XLOOKUP(B121,'Cleaned Data'!I121:I275,'Cleaned Data'!H121:H275)</f>
        <v>West</v>
      </c>
      <c r="K121" t="str">
        <f>_xlfn.XLOOKUP(B121,'Cleaned Data'!I121:I275,'Cleaned Data'!E121:E275)</f>
        <v>Consumer</v>
      </c>
    </row>
    <row r="122" spans="1:11" x14ac:dyDescent="0.35">
      <c r="A122" t="s">
        <v>528</v>
      </c>
      <c r="B122" t="s">
        <v>99</v>
      </c>
      <c r="C122" s="2">
        <v>62.72</v>
      </c>
      <c r="D122">
        <v>4</v>
      </c>
      <c r="E122" s="3">
        <v>0</v>
      </c>
      <c r="F122" s="4">
        <v>24.460799999999999</v>
      </c>
      <c r="G122" t="str">
        <f>_xlfn.XLOOKUP(B122,'Cleaned Data'!I122:I276,'Cleaned Data'!L122:L276)</f>
        <v>Artistic Insta-Plaque</v>
      </c>
      <c r="H122" t="str">
        <f>_xlfn.XLOOKUP(B122,'Cleaned Data'!I122:I276,'Cleaned Data'!J122:J276)</f>
        <v>Furniture</v>
      </c>
      <c r="I122" t="str">
        <f>_xlfn.XLOOKUP(B122,'Cleaned Data'!I122:I276,'Cleaned Data'!K122:K276)</f>
        <v>Furnishings</v>
      </c>
      <c r="J122" t="str">
        <f>_xlfn.XLOOKUP(B122,'Cleaned Data'!I122:I276,'Cleaned Data'!H122:H276)</f>
        <v>South</v>
      </c>
      <c r="K122" t="str">
        <f>_xlfn.XLOOKUP(B122,'Cleaned Data'!I122:I276,'Cleaned Data'!E122:E276)</f>
        <v>Consumer</v>
      </c>
    </row>
    <row r="123" spans="1:11" x14ac:dyDescent="0.35">
      <c r="A123" t="s">
        <v>528</v>
      </c>
      <c r="B123" t="s">
        <v>444</v>
      </c>
      <c r="C123" s="2">
        <v>2939.93</v>
      </c>
      <c r="D123">
        <v>7</v>
      </c>
      <c r="E123" s="3">
        <v>0</v>
      </c>
      <c r="F123" s="4">
        <v>764.3818</v>
      </c>
      <c r="G123" t="str">
        <f>_xlfn.XLOOKUP(B123,'Cleaned Data'!I123:I277,'Cleaned Data'!L123:L277)</f>
        <v>Samsung Galaxy Mega 6.3</v>
      </c>
      <c r="H123" t="str">
        <f>_xlfn.XLOOKUP(B123,'Cleaned Data'!I123:I277,'Cleaned Data'!J123:J277)</f>
        <v>Technology</v>
      </c>
      <c r="I123" t="str">
        <f>_xlfn.XLOOKUP(B123,'Cleaned Data'!I123:I277,'Cleaned Data'!K123:K277)</f>
        <v>Phones</v>
      </c>
      <c r="J123" t="str">
        <f>_xlfn.XLOOKUP(B123,'Cleaned Data'!I123:I277,'Cleaned Data'!H123:H277)</f>
        <v>South</v>
      </c>
      <c r="K123" t="str">
        <f>_xlfn.XLOOKUP(B123,'Cleaned Data'!I123:I277,'Cleaned Data'!E123:E277)</f>
        <v>Consumer</v>
      </c>
    </row>
    <row r="124" spans="1:11" x14ac:dyDescent="0.35">
      <c r="A124" t="s">
        <v>398</v>
      </c>
      <c r="B124" t="s">
        <v>202</v>
      </c>
      <c r="C124" s="2">
        <v>14.016</v>
      </c>
      <c r="D124">
        <v>3</v>
      </c>
      <c r="E124" s="3">
        <v>0.2</v>
      </c>
      <c r="F124" s="4">
        <v>1.752</v>
      </c>
      <c r="G124" t="str">
        <f>_xlfn.XLOOKUP(B124,'Cleaned Data'!I124:I278,'Cleaned Data'!L124:L278)</f>
        <v>Newell 312</v>
      </c>
      <c r="H124" t="str">
        <f>_xlfn.XLOOKUP(B124,'Cleaned Data'!I124:I278,'Cleaned Data'!J124:J278)</f>
        <v>Office Supplies</v>
      </c>
      <c r="I124" t="str">
        <f>_xlfn.XLOOKUP(B124,'Cleaned Data'!I124:I278,'Cleaned Data'!K124:K278)</f>
        <v>Art</v>
      </c>
      <c r="J124" t="str">
        <f>_xlfn.XLOOKUP(B124,'Cleaned Data'!I124:I278,'Cleaned Data'!H124:H278)</f>
        <v>East</v>
      </c>
      <c r="K124" t="str">
        <f>_xlfn.XLOOKUP(B124,'Cleaned Data'!I124:I278,'Cleaned Data'!E124:E278)</f>
        <v>Consumer</v>
      </c>
    </row>
    <row r="125" spans="1:11" x14ac:dyDescent="0.35">
      <c r="A125" t="s">
        <v>398</v>
      </c>
      <c r="B125" t="s">
        <v>266</v>
      </c>
      <c r="C125" s="2">
        <v>71.975999999999999</v>
      </c>
      <c r="D125">
        <v>3</v>
      </c>
      <c r="E125" s="3">
        <v>0.2</v>
      </c>
      <c r="F125" s="4">
        <v>-8.9969999999999999</v>
      </c>
      <c r="G125" t="str">
        <f>_xlfn.XLOOKUP(B125,'Cleaned Data'!I125:I279,'Cleaned Data'!L125:L279)</f>
        <v xml:space="preserve">Anker Ultrathin Bluetooth Wireless Keyboard Aluminum Cover with Stand </v>
      </c>
      <c r="H125" t="str">
        <f>_xlfn.XLOOKUP(B125,'Cleaned Data'!I125:I279,'Cleaned Data'!J125:J279)</f>
        <v>Technology</v>
      </c>
      <c r="I125" t="str">
        <f>_xlfn.XLOOKUP(B125,'Cleaned Data'!I125:I279,'Cleaned Data'!K125:K279)</f>
        <v>Accessories</v>
      </c>
      <c r="J125" t="str">
        <f>_xlfn.XLOOKUP(B125,'Cleaned Data'!I125:I279,'Cleaned Data'!H125:H279)</f>
        <v>East</v>
      </c>
      <c r="K125" t="str">
        <f>_xlfn.XLOOKUP(B125,'Cleaned Data'!I125:I279,'Cleaned Data'!E125:E279)</f>
        <v>Consumer</v>
      </c>
    </row>
    <row r="126" spans="1:11" x14ac:dyDescent="0.35">
      <c r="A126" t="s">
        <v>398</v>
      </c>
      <c r="B126" t="s">
        <v>117</v>
      </c>
      <c r="C126" s="2">
        <v>107.982</v>
      </c>
      <c r="D126">
        <v>3</v>
      </c>
      <c r="E126" s="3">
        <v>0.4</v>
      </c>
      <c r="F126" s="4">
        <v>-26.9955</v>
      </c>
      <c r="G126" t="str">
        <f>_xlfn.XLOOKUP(B126,'Cleaned Data'!I126:I280,'Cleaned Data'!L126:L280)</f>
        <v>JBL Micro Wireless Portable Bluetooth Speaker</v>
      </c>
      <c r="H126" t="str">
        <f>_xlfn.XLOOKUP(B126,'Cleaned Data'!I126:I280,'Cleaned Data'!J126:J280)</f>
        <v>Technology</v>
      </c>
      <c r="I126" t="str">
        <f>_xlfn.XLOOKUP(B126,'Cleaned Data'!I126:I280,'Cleaned Data'!K126:K280)</f>
        <v>Phones</v>
      </c>
      <c r="J126" t="str">
        <f>_xlfn.XLOOKUP(B126,'Cleaned Data'!I126:I280,'Cleaned Data'!H126:H280)</f>
        <v>East</v>
      </c>
      <c r="K126" t="str">
        <f>_xlfn.XLOOKUP(B126,'Cleaned Data'!I126:I280,'Cleaned Data'!E126:E280)</f>
        <v>Consumer</v>
      </c>
    </row>
    <row r="127" spans="1:11" x14ac:dyDescent="0.35">
      <c r="A127" t="s">
        <v>518</v>
      </c>
      <c r="B127" t="s">
        <v>477</v>
      </c>
      <c r="C127" s="2">
        <v>137.94</v>
      </c>
      <c r="D127">
        <v>3</v>
      </c>
      <c r="E127" s="3">
        <v>0</v>
      </c>
      <c r="F127" s="4">
        <v>35.864400000000003</v>
      </c>
      <c r="G127" t="str">
        <f>_xlfn.XLOOKUP(B127,'Cleaned Data'!I127:I281,'Cleaned Data'!L127:L281)</f>
        <v>Jensen SMPS-640 - speaker phone</v>
      </c>
      <c r="H127" t="str">
        <f>_xlfn.XLOOKUP(B127,'Cleaned Data'!I127:I281,'Cleaned Data'!J127:J281)</f>
        <v>Technology</v>
      </c>
      <c r="I127" t="str">
        <f>_xlfn.XLOOKUP(B127,'Cleaned Data'!I127:I281,'Cleaned Data'!K127:K281)</f>
        <v>Phones</v>
      </c>
      <c r="J127" t="str">
        <f>_xlfn.XLOOKUP(B127,'Cleaned Data'!I127:I281,'Cleaned Data'!H127:H281)</f>
        <v>East</v>
      </c>
      <c r="K127" t="str">
        <f>_xlfn.XLOOKUP(B127,'Cleaned Data'!I127:I281,'Cleaned Data'!E127:E281)</f>
        <v>Consumer</v>
      </c>
    </row>
    <row r="128" spans="1:11" x14ac:dyDescent="0.35">
      <c r="A128" t="s">
        <v>336</v>
      </c>
      <c r="B128" t="s">
        <v>317</v>
      </c>
      <c r="C128" s="2">
        <v>239.97</v>
      </c>
      <c r="D128">
        <v>3</v>
      </c>
      <c r="E128" s="3">
        <v>0</v>
      </c>
      <c r="F128" s="4">
        <v>26.396699999999999</v>
      </c>
      <c r="G128" t="str">
        <f>_xlfn.XLOOKUP(B128,'Cleaned Data'!I128:I282,'Cleaned Data'!L128:L282)</f>
        <v>Logitech G13 Programmable Gameboard with LCD Display</v>
      </c>
      <c r="H128" t="str">
        <f>_xlfn.XLOOKUP(B128,'Cleaned Data'!I128:I282,'Cleaned Data'!J128:J282)</f>
        <v>Technology</v>
      </c>
      <c r="I128" t="str">
        <f>_xlfn.XLOOKUP(B128,'Cleaned Data'!I128:I282,'Cleaned Data'!K128:K282)</f>
        <v>Accessories</v>
      </c>
      <c r="J128" t="str">
        <f>_xlfn.XLOOKUP(B128,'Cleaned Data'!I128:I282,'Cleaned Data'!H128:H282)</f>
        <v>West</v>
      </c>
      <c r="K128" t="str">
        <f>_xlfn.XLOOKUP(B128,'Cleaned Data'!I128:I282,'Cleaned Data'!E128:E282)</f>
        <v>Home Office</v>
      </c>
    </row>
    <row r="129" spans="1:11" x14ac:dyDescent="0.35">
      <c r="A129" t="s">
        <v>336</v>
      </c>
      <c r="B129" t="s">
        <v>338</v>
      </c>
      <c r="C129" s="2">
        <v>37.74</v>
      </c>
      <c r="D129">
        <v>3</v>
      </c>
      <c r="E129" s="3">
        <v>0</v>
      </c>
      <c r="F129" s="4">
        <v>12.8316</v>
      </c>
      <c r="G129" t="str">
        <f>_xlfn.XLOOKUP(B129,'Cleaned Data'!I129:I283,'Cleaned Data'!L129:L283)</f>
        <v>DAX Executive Solid Wood Document Frame, Desktop or Hang, Mahogany, 5 x 7</v>
      </c>
      <c r="H129" t="str">
        <f>_xlfn.XLOOKUP(B129,'Cleaned Data'!I129:I283,'Cleaned Data'!J129:J283)</f>
        <v>Furniture</v>
      </c>
      <c r="I129" t="str">
        <f>_xlfn.XLOOKUP(B129,'Cleaned Data'!I129:I283,'Cleaned Data'!K129:K283)</f>
        <v>Furnishings</v>
      </c>
      <c r="J129" t="str">
        <f>_xlfn.XLOOKUP(B129,'Cleaned Data'!I129:I283,'Cleaned Data'!H129:H283)</f>
        <v>West</v>
      </c>
      <c r="K129" t="str">
        <f>_xlfn.XLOOKUP(B129,'Cleaned Data'!I129:I283,'Cleaned Data'!E129:E283)</f>
        <v>Home Office</v>
      </c>
    </row>
    <row r="130" spans="1:11" x14ac:dyDescent="0.35">
      <c r="A130" t="s">
        <v>482</v>
      </c>
      <c r="B130" t="s">
        <v>329</v>
      </c>
      <c r="C130" s="2">
        <v>279.89999999999998</v>
      </c>
      <c r="D130">
        <v>5</v>
      </c>
      <c r="E130" s="3">
        <v>0</v>
      </c>
      <c r="F130" s="4">
        <v>137.15100000000001</v>
      </c>
      <c r="G130" t="str">
        <f>_xlfn.XLOOKUP(B130,'Cleaned Data'!I130:I284,'Cleaned Data'!L130:L284)</f>
        <v>Xerox 1934</v>
      </c>
      <c r="H130" t="str">
        <f>_xlfn.XLOOKUP(B130,'Cleaned Data'!I130:I284,'Cleaned Data'!J130:J284)</f>
        <v>Office Supplies</v>
      </c>
      <c r="I130" t="str">
        <f>_xlfn.XLOOKUP(B130,'Cleaned Data'!I130:I284,'Cleaned Data'!K130:K284)</f>
        <v>Paper</v>
      </c>
      <c r="J130" t="str">
        <f>_xlfn.XLOOKUP(B130,'Cleaned Data'!I130:I284,'Cleaned Data'!H130:H284)</f>
        <v>Central</v>
      </c>
      <c r="K130" t="str">
        <f>_xlfn.XLOOKUP(B130,'Cleaned Data'!I130:I284,'Cleaned Data'!E130:E284)</f>
        <v>Consumer</v>
      </c>
    </row>
    <row r="131" spans="1:11" x14ac:dyDescent="0.35">
      <c r="A131" t="s">
        <v>512</v>
      </c>
      <c r="B131" t="s">
        <v>389</v>
      </c>
      <c r="C131" s="2">
        <v>449.91</v>
      </c>
      <c r="D131">
        <v>9</v>
      </c>
      <c r="E131" s="3">
        <v>0</v>
      </c>
      <c r="F131" s="4">
        <v>157.46850000000001</v>
      </c>
      <c r="G131" t="str">
        <f>_xlfn.XLOOKUP(B131,'Cleaned Data'!I131:I285,'Cleaned Data'!L131:L285)</f>
        <v>Plantronics Audio 478 Stereo USB Headset</v>
      </c>
      <c r="H131" t="str">
        <f>_xlfn.XLOOKUP(B131,'Cleaned Data'!I131:I285,'Cleaned Data'!J131:J285)</f>
        <v>Technology</v>
      </c>
      <c r="I131" t="str">
        <f>_xlfn.XLOOKUP(B131,'Cleaned Data'!I131:I285,'Cleaned Data'!K131:K285)</f>
        <v>Accessories</v>
      </c>
      <c r="J131" t="str">
        <f>_xlfn.XLOOKUP(B131,'Cleaned Data'!I131:I285,'Cleaned Data'!H131:H285)</f>
        <v>East</v>
      </c>
      <c r="K131" t="str">
        <f>_xlfn.XLOOKUP(B131,'Cleaned Data'!I131:I285,'Cleaned Data'!E131:E285)</f>
        <v>Home Office</v>
      </c>
    </row>
    <row r="132" spans="1:11" x14ac:dyDescent="0.35">
      <c r="A132" t="s">
        <v>462</v>
      </c>
      <c r="B132" t="s">
        <v>138</v>
      </c>
      <c r="C132" s="2">
        <v>12.128</v>
      </c>
      <c r="D132">
        <v>4</v>
      </c>
      <c r="E132" s="3">
        <v>0.8</v>
      </c>
      <c r="F132" s="4">
        <v>-20.617599999999999</v>
      </c>
      <c r="G132" t="str">
        <f>_xlfn.XLOOKUP(B132,'Cleaned Data'!I132:I286,'Cleaned Data'!L132:L286)</f>
        <v>GBC Clear Cover, 8-1/2 x 11, unpunched, 25 covers per pack</v>
      </c>
      <c r="H132" t="str">
        <f>_xlfn.XLOOKUP(B132,'Cleaned Data'!I132:I286,'Cleaned Data'!J132:J286)</f>
        <v>Office Supplies</v>
      </c>
      <c r="I132" t="str">
        <f>_xlfn.XLOOKUP(B132,'Cleaned Data'!I132:I286,'Cleaned Data'!K132:K286)</f>
        <v>Binders</v>
      </c>
      <c r="J132" t="str">
        <f>_xlfn.XLOOKUP(B132,'Cleaned Data'!I132:I286,'Cleaned Data'!H132:H286)</f>
        <v>Central</v>
      </c>
      <c r="K132" t="str">
        <f>_xlfn.XLOOKUP(B132,'Cleaned Data'!I132:I286,'Cleaned Data'!E132:E286)</f>
        <v>Consumer</v>
      </c>
    </row>
    <row r="133" spans="1:11" x14ac:dyDescent="0.35">
      <c r="A133" t="s">
        <v>490</v>
      </c>
      <c r="B133" t="s">
        <v>449</v>
      </c>
      <c r="C133" s="2">
        <v>8.34</v>
      </c>
      <c r="D133">
        <v>3</v>
      </c>
      <c r="E133" s="3">
        <v>0</v>
      </c>
      <c r="F133" s="4">
        <v>2.1684000000000001</v>
      </c>
      <c r="G133" t="str">
        <f>_xlfn.XLOOKUP(B133,'Cleaned Data'!I133:I287,'Cleaned Data'!L133:L287)</f>
        <v>Newell 339</v>
      </c>
      <c r="H133" t="str">
        <f>_xlfn.XLOOKUP(B133,'Cleaned Data'!I133:I287,'Cleaned Data'!J133:J287)</f>
        <v>Office Supplies</v>
      </c>
      <c r="I133" t="str">
        <f>_xlfn.XLOOKUP(B133,'Cleaned Data'!I133:I287,'Cleaned Data'!K133:K287)</f>
        <v>Art</v>
      </c>
      <c r="J133" t="str">
        <f>_xlfn.XLOOKUP(B133,'Cleaned Data'!I133:I287,'Cleaned Data'!H133:H287)</f>
        <v>West</v>
      </c>
      <c r="K133" t="str">
        <f>_xlfn.XLOOKUP(B133,'Cleaned Data'!I133:I287,'Cleaned Data'!E133:E287)</f>
        <v>Consumer</v>
      </c>
    </row>
    <row r="134" spans="1:11" x14ac:dyDescent="0.35">
      <c r="A134" t="s">
        <v>490</v>
      </c>
      <c r="B134" t="s">
        <v>396</v>
      </c>
      <c r="C134" s="2">
        <v>8.57</v>
      </c>
      <c r="D134">
        <v>1</v>
      </c>
      <c r="E134" s="3">
        <v>0</v>
      </c>
      <c r="F134" s="4">
        <v>2.2282000000000002</v>
      </c>
      <c r="G134" t="str">
        <f>_xlfn.XLOOKUP(B134,'Cleaned Data'!I134:I288,'Cleaned Data'!L134:L288)</f>
        <v>Acme Office Executive Series Stainless Steel Trimmers</v>
      </c>
      <c r="H134" t="str">
        <f>_xlfn.XLOOKUP(B134,'Cleaned Data'!I134:I288,'Cleaned Data'!J134:J288)</f>
        <v>Office Supplies</v>
      </c>
      <c r="I134" t="str">
        <f>_xlfn.XLOOKUP(B134,'Cleaned Data'!I134:I288,'Cleaned Data'!K134:K288)</f>
        <v>Supplies</v>
      </c>
      <c r="J134" t="str">
        <f>_xlfn.XLOOKUP(B134,'Cleaned Data'!I134:I288,'Cleaned Data'!H134:H288)</f>
        <v>West</v>
      </c>
      <c r="K134" t="str">
        <f>_xlfn.XLOOKUP(B134,'Cleaned Data'!I134:I288,'Cleaned Data'!E134:E288)</f>
        <v>Consumer</v>
      </c>
    </row>
    <row r="135" spans="1:11" x14ac:dyDescent="0.35">
      <c r="A135" t="s">
        <v>490</v>
      </c>
      <c r="B135" t="s">
        <v>180</v>
      </c>
      <c r="C135" s="2">
        <v>119.616</v>
      </c>
      <c r="D135">
        <v>8</v>
      </c>
      <c r="E135" s="3">
        <v>0.2</v>
      </c>
      <c r="F135" s="4">
        <v>40.370399999999997</v>
      </c>
      <c r="G135" t="str">
        <f>_xlfn.XLOOKUP(B135,'Cleaned Data'!I135:I289,'Cleaned Data'!L135:L289)</f>
        <v>Clear Mylar Reinforcing Strips</v>
      </c>
      <c r="H135" t="str">
        <f>_xlfn.XLOOKUP(B135,'Cleaned Data'!I135:I289,'Cleaned Data'!J135:J289)</f>
        <v>Office Supplies</v>
      </c>
      <c r="I135" t="str">
        <f>_xlfn.XLOOKUP(B135,'Cleaned Data'!I135:I289,'Cleaned Data'!K135:K289)</f>
        <v>Binders</v>
      </c>
      <c r="J135" t="str">
        <f>_xlfn.XLOOKUP(B135,'Cleaned Data'!I135:I289,'Cleaned Data'!H135:H289)</f>
        <v>West</v>
      </c>
      <c r="K135" t="str">
        <f>_xlfn.XLOOKUP(B135,'Cleaned Data'!I135:I289,'Cleaned Data'!E135:E289)</f>
        <v>Consumer</v>
      </c>
    </row>
    <row r="136" spans="1:11" x14ac:dyDescent="0.35">
      <c r="A136" t="s">
        <v>516</v>
      </c>
      <c r="B136" t="s">
        <v>270</v>
      </c>
      <c r="C136" s="2">
        <v>5.22</v>
      </c>
      <c r="D136">
        <v>2</v>
      </c>
      <c r="E136" s="3">
        <v>0</v>
      </c>
      <c r="F136" s="4">
        <v>2.4011999999999998</v>
      </c>
      <c r="G136" t="str">
        <f>_xlfn.XLOOKUP(B136,'Cleaned Data'!I136:I290,'Cleaned Data'!L136:L290)</f>
        <v>Permanent Self-Adhesive File Folder Labels for Typewriters by Universal</v>
      </c>
      <c r="H136" t="str">
        <f>_xlfn.XLOOKUP(B136,'Cleaned Data'!I136:I290,'Cleaned Data'!J136:J290)</f>
        <v>Office Supplies</v>
      </c>
      <c r="I136" t="str">
        <f>_xlfn.XLOOKUP(B136,'Cleaned Data'!I136:I290,'Cleaned Data'!K136:K290)</f>
        <v>Labels</v>
      </c>
      <c r="J136" t="str">
        <f>_xlfn.XLOOKUP(B136,'Cleaned Data'!I136:I290,'Cleaned Data'!H136:H290)</f>
        <v>East</v>
      </c>
      <c r="K136" t="str">
        <f>_xlfn.XLOOKUP(B136,'Cleaned Data'!I136:I290,'Cleaned Data'!E136:E290)</f>
        <v>Consumer</v>
      </c>
    </row>
    <row r="137" spans="1:11" x14ac:dyDescent="0.35">
      <c r="A137" t="s">
        <v>531</v>
      </c>
      <c r="B137" t="s">
        <v>84</v>
      </c>
      <c r="C137" s="2">
        <v>4.7679999999999998</v>
      </c>
      <c r="D137">
        <v>2</v>
      </c>
      <c r="E137" s="3">
        <v>0.2</v>
      </c>
      <c r="F137" s="4">
        <v>0.4768</v>
      </c>
      <c r="G137" t="str">
        <f>_xlfn.XLOOKUP(B137,'Cleaned Data'!I137:I291,'Cleaned Data'!L137:L291)</f>
        <v>Premium Writing Pencils, Soft, #2 by Central Association for the Blind</v>
      </c>
      <c r="H137" t="str">
        <f>_xlfn.XLOOKUP(B137,'Cleaned Data'!I137:I291,'Cleaned Data'!J137:J291)</f>
        <v>Office Supplies</v>
      </c>
      <c r="I137" t="str">
        <f>_xlfn.XLOOKUP(B137,'Cleaned Data'!I137:I291,'Cleaned Data'!K137:K291)</f>
        <v>Art</v>
      </c>
      <c r="J137" t="str">
        <f>_xlfn.XLOOKUP(B137,'Cleaned Data'!I137:I291,'Cleaned Data'!H137:H291)</f>
        <v>East</v>
      </c>
      <c r="K137" t="str">
        <f>_xlfn.XLOOKUP(B137,'Cleaned Data'!I137:I291,'Cleaned Data'!E137:E291)</f>
        <v>Consumer</v>
      </c>
    </row>
    <row r="138" spans="1:11" x14ac:dyDescent="0.35">
      <c r="A138" t="s">
        <v>541</v>
      </c>
      <c r="B138" t="s">
        <v>447</v>
      </c>
      <c r="C138" s="2">
        <v>12.96</v>
      </c>
      <c r="D138">
        <v>2</v>
      </c>
      <c r="E138" s="3">
        <v>0</v>
      </c>
      <c r="F138" s="4">
        <v>6.2207999999999997</v>
      </c>
      <c r="G138" t="str">
        <f>_xlfn.XLOOKUP(B138,'Cleaned Data'!I138:I292,'Cleaned Data'!L138:L292)</f>
        <v>Xerox 1997</v>
      </c>
      <c r="H138" t="str">
        <f>_xlfn.XLOOKUP(B138,'Cleaned Data'!I138:I292,'Cleaned Data'!J138:J292)</f>
        <v>Office Supplies</v>
      </c>
      <c r="I138" t="str">
        <f>_xlfn.XLOOKUP(B138,'Cleaned Data'!I138:I292,'Cleaned Data'!K138:K292)</f>
        <v>Paper</v>
      </c>
      <c r="J138" t="str">
        <f>_xlfn.XLOOKUP(B138,'Cleaned Data'!I138:I292,'Cleaned Data'!H138:H292)</f>
        <v>Central</v>
      </c>
      <c r="K138" t="str">
        <f>_xlfn.XLOOKUP(B138,'Cleaned Data'!I138:I292,'Cleaned Data'!E138:E292)</f>
        <v>Consumer</v>
      </c>
    </row>
    <row r="139" spans="1:11" x14ac:dyDescent="0.35">
      <c r="A139" t="s">
        <v>541</v>
      </c>
      <c r="B139" t="s">
        <v>252</v>
      </c>
      <c r="C139" s="2">
        <v>94.85</v>
      </c>
      <c r="D139">
        <v>5</v>
      </c>
      <c r="E139" s="3">
        <v>0</v>
      </c>
      <c r="F139" s="4">
        <v>45.527999999999999</v>
      </c>
      <c r="G139" t="str">
        <f>_xlfn.XLOOKUP(B139,'Cleaned Data'!I139:I293,'Cleaned Data'!L139:L293)</f>
        <v>Xerox 1887</v>
      </c>
      <c r="H139" t="str">
        <f>_xlfn.XLOOKUP(B139,'Cleaned Data'!I139:I293,'Cleaned Data'!J139:J293)</f>
        <v>Office Supplies</v>
      </c>
      <c r="I139" t="str">
        <f>_xlfn.XLOOKUP(B139,'Cleaned Data'!I139:I293,'Cleaned Data'!K139:K293)</f>
        <v>Paper</v>
      </c>
      <c r="J139" t="str">
        <f>_xlfn.XLOOKUP(B139,'Cleaned Data'!I139:I293,'Cleaned Data'!H139:H293)</f>
        <v>Central</v>
      </c>
      <c r="K139" t="str">
        <f>_xlfn.XLOOKUP(B139,'Cleaned Data'!I139:I293,'Cleaned Data'!E139:E293)</f>
        <v>Consumer</v>
      </c>
    </row>
    <row r="140" spans="1:11" x14ac:dyDescent="0.35">
      <c r="A140" t="s">
        <v>541</v>
      </c>
      <c r="B140" t="s">
        <v>109</v>
      </c>
      <c r="C140" s="2">
        <v>13.48</v>
      </c>
      <c r="D140">
        <v>1</v>
      </c>
      <c r="E140" s="3">
        <v>0</v>
      </c>
      <c r="F140" s="4">
        <v>3.5047999999999999</v>
      </c>
      <c r="G140" t="str">
        <f>_xlfn.XLOOKUP(B140,'Cleaned Data'!I140:I294,'Cleaned Data'!L140:L294)</f>
        <v>Tenex Personal Project File with Scoop Front Design, Black</v>
      </c>
      <c r="H140" t="str">
        <f>_xlfn.XLOOKUP(B140,'Cleaned Data'!I140:I294,'Cleaned Data'!J140:J294)</f>
        <v>Office Supplies</v>
      </c>
      <c r="I140" t="str">
        <f>_xlfn.XLOOKUP(B140,'Cleaned Data'!I140:I294,'Cleaned Data'!K140:K294)</f>
        <v>Storage</v>
      </c>
      <c r="J140" t="str">
        <f>_xlfn.XLOOKUP(B140,'Cleaned Data'!I140:I294,'Cleaned Data'!H140:H294)</f>
        <v>Central</v>
      </c>
      <c r="K140" t="str">
        <f>_xlfn.XLOOKUP(B140,'Cleaned Data'!I140:I294,'Cleaned Data'!E140:E294)</f>
        <v>Consumer</v>
      </c>
    </row>
    <row r="141" spans="1:11" x14ac:dyDescent="0.35">
      <c r="A141" t="s">
        <v>541</v>
      </c>
      <c r="B141" t="s">
        <v>208</v>
      </c>
      <c r="C141" s="2">
        <v>14.91</v>
      </c>
      <c r="D141">
        <v>3</v>
      </c>
      <c r="E141" s="3">
        <v>0</v>
      </c>
      <c r="F141" s="4">
        <v>4.6220999999999997</v>
      </c>
      <c r="G141" t="str">
        <f>_xlfn.XLOOKUP(B141,'Cleaned Data'!I141:I295,'Cleaned Data'!L141:L295)</f>
        <v>DAX Value U-Channel Document Frames, Easel Back</v>
      </c>
      <c r="H141" t="str">
        <f>_xlfn.XLOOKUP(B141,'Cleaned Data'!I141:I295,'Cleaned Data'!J141:J295)</f>
        <v>Furniture</v>
      </c>
      <c r="I141" t="str">
        <f>_xlfn.XLOOKUP(B141,'Cleaned Data'!I141:I295,'Cleaned Data'!K141:K295)</f>
        <v>Furnishings</v>
      </c>
      <c r="J141" t="str">
        <f>_xlfn.XLOOKUP(B141,'Cleaned Data'!I141:I295,'Cleaned Data'!H141:H295)</f>
        <v>Central</v>
      </c>
      <c r="K141" t="str">
        <f>_xlfn.XLOOKUP(B141,'Cleaned Data'!I141:I295,'Cleaned Data'!E141:E295)</f>
        <v>Consumer</v>
      </c>
    </row>
    <row r="142" spans="1:11" x14ac:dyDescent="0.35">
      <c r="A142" t="s">
        <v>239</v>
      </c>
      <c r="B142" t="s">
        <v>241</v>
      </c>
      <c r="C142" s="2">
        <v>18.28</v>
      </c>
      <c r="D142">
        <v>2</v>
      </c>
      <c r="E142" s="3">
        <v>0</v>
      </c>
      <c r="F142" s="4">
        <v>9.14</v>
      </c>
      <c r="G142" t="str">
        <f>_xlfn.XLOOKUP(B142,'Cleaned Data'!I142:I296,'Cleaned Data'!L142:L296)</f>
        <v>Cardinal EasyOpen D-Ring Binders</v>
      </c>
      <c r="H142" t="str">
        <f>_xlfn.XLOOKUP(B142,'Cleaned Data'!I142:I296,'Cleaned Data'!J142:J296)</f>
        <v>Office Supplies</v>
      </c>
      <c r="I142" t="str">
        <f>_xlfn.XLOOKUP(B142,'Cleaned Data'!I142:I296,'Cleaned Data'!K142:K296)</f>
        <v>Binders</v>
      </c>
      <c r="J142" t="str">
        <f>_xlfn.XLOOKUP(B142,'Cleaned Data'!I142:I296,'Cleaned Data'!H142:H296)</f>
        <v>Central</v>
      </c>
      <c r="K142" t="str">
        <f>_xlfn.XLOOKUP(B142,'Cleaned Data'!I142:I296,'Cleaned Data'!E142:E296)</f>
        <v>Corporate</v>
      </c>
    </row>
    <row r="143" spans="1:11" x14ac:dyDescent="0.35">
      <c r="A143" t="s">
        <v>239</v>
      </c>
      <c r="B143" t="s">
        <v>141</v>
      </c>
      <c r="C143" s="2">
        <v>207</v>
      </c>
      <c r="D143">
        <v>3</v>
      </c>
      <c r="E143" s="3">
        <v>0</v>
      </c>
      <c r="F143" s="4">
        <v>51.75</v>
      </c>
      <c r="G143" t="str">
        <f>_xlfn.XLOOKUP(B143,'Cleaned Data'!I143:I297,'Cleaned Data'!L143:L297)</f>
        <v>AT&amp;T 841000 Phone</v>
      </c>
      <c r="H143" t="str">
        <f>_xlfn.XLOOKUP(B143,'Cleaned Data'!I143:I297,'Cleaned Data'!J143:J297)</f>
        <v>Technology</v>
      </c>
      <c r="I143" t="str">
        <f>_xlfn.XLOOKUP(B143,'Cleaned Data'!I143:I297,'Cleaned Data'!K143:K297)</f>
        <v>Phones</v>
      </c>
      <c r="J143" t="str">
        <f>_xlfn.XLOOKUP(B143,'Cleaned Data'!I143:I297,'Cleaned Data'!H143:H297)</f>
        <v>Central</v>
      </c>
      <c r="K143" t="str">
        <f>_xlfn.XLOOKUP(B143,'Cleaned Data'!I143:I297,'Cleaned Data'!E143:E297)</f>
        <v>Corporate</v>
      </c>
    </row>
    <row r="144" spans="1:11" x14ac:dyDescent="0.35">
      <c r="A144" t="s">
        <v>239</v>
      </c>
      <c r="B144" t="s">
        <v>243</v>
      </c>
      <c r="C144" s="2">
        <v>32.35</v>
      </c>
      <c r="D144">
        <v>5</v>
      </c>
      <c r="E144" s="3">
        <v>0</v>
      </c>
      <c r="F144" s="4">
        <v>16.175000000000001</v>
      </c>
      <c r="G144" t="str">
        <f>_xlfn.XLOOKUP(B144,'Cleaned Data'!I144:I298,'Cleaned Data'!L144:L298)</f>
        <v>GBC Instant Report Kit</v>
      </c>
      <c r="H144" t="str">
        <f>_xlfn.XLOOKUP(B144,'Cleaned Data'!I144:I298,'Cleaned Data'!J144:J298)</f>
        <v>Office Supplies</v>
      </c>
      <c r="I144" t="str">
        <f>_xlfn.XLOOKUP(B144,'Cleaned Data'!I144:I298,'Cleaned Data'!K144:K298)</f>
        <v>Binders</v>
      </c>
      <c r="J144" t="str">
        <f>_xlfn.XLOOKUP(B144,'Cleaned Data'!I144:I298,'Cleaned Data'!H144:H298)</f>
        <v>Central</v>
      </c>
      <c r="K144" t="str">
        <f>_xlfn.XLOOKUP(B144,'Cleaned Data'!I144:I298,'Cleaned Data'!E144:E298)</f>
        <v>Corporate</v>
      </c>
    </row>
    <row r="145" spans="1:11" x14ac:dyDescent="0.35">
      <c r="A145" t="s">
        <v>239</v>
      </c>
      <c r="B145" t="s">
        <v>38</v>
      </c>
      <c r="C145" s="2">
        <v>7.71</v>
      </c>
      <c r="D145">
        <v>1</v>
      </c>
      <c r="E145" s="3">
        <v>0</v>
      </c>
      <c r="F145" s="4">
        <v>3.4695</v>
      </c>
      <c r="G145" t="str">
        <f>_xlfn.XLOOKUP(B145,'Cleaned Data'!I145:I299,'Cleaned Data'!L145:L299)</f>
        <v>DXL Angle-View Binders with Locking Rings by Samsill</v>
      </c>
      <c r="H145" t="str">
        <f>_xlfn.XLOOKUP(B145,'Cleaned Data'!I145:I299,'Cleaned Data'!J145:J299)</f>
        <v>Office Supplies</v>
      </c>
      <c r="I145" t="str">
        <f>_xlfn.XLOOKUP(B145,'Cleaned Data'!I145:I299,'Cleaned Data'!K145:K299)</f>
        <v>Binders</v>
      </c>
      <c r="J145" t="str">
        <f>_xlfn.XLOOKUP(B145,'Cleaned Data'!I145:I299,'Cleaned Data'!H145:H299)</f>
        <v>Central</v>
      </c>
      <c r="K145" t="str">
        <f>_xlfn.XLOOKUP(B145,'Cleaned Data'!I145:I299,'Cleaned Data'!E145:E299)</f>
        <v>Corporate</v>
      </c>
    </row>
    <row r="146" spans="1:11" x14ac:dyDescent="0.35">
      <c r="A146" t="s">
        <v>239</v>
      </c>
      <c r="B146" t="s">
        <v>245</v>
      </c>
      <c r="C146" s="2">
        <v>40.299999999999997</v>
      </c>
      <c r="D146">
        <v>2</v>
      </c>
      <c r="E146" s="3">
        <v>0</v>
      </c>
      <c r="F146" s="4">
        <v>10.881</v>
      </c>
      <c r="G146" t="str">
        <f>_xlfn.XLOOKUP(B146,'Cleaned Data'!I146:I300,'Cleaned Data'!L146:L300)</f>
        <v>Boston 19500 Mighty Mite Electric Pencil Sharpener</v>
      </c>
      <c r="H146" t="str">
        <f>_xlfn.XLOOKUP(B146,'Cleaned Data'!I146:I300,'Cleaned Data'!J146:J300)</f>
        <v>Office Supplies</v>
      </c>
      <c r="I146" t="str">
        <f>_xlfn.XLOOKUP(B146,'Cleaned Data'!I146:I300,'Cleaned Data'!K146:K300)</f>
        <v>Art</v>
      </c>
      <c r="J146" t="str">
        <f>_xlfn.XLOOKUP(B146,'Cleaned Data'!I146:I300,'Cleaned Data'!H146:H300)</f>
        <v>Central</v>
      </c>
      <c r="K146" t="str">
        <f>_xlfn.XLOOKUP(B146,'Cleaned Data'!I146:I300,'Cleaned Data'!E146:E300)</f>
        <v>Corporate</v>
      </c>
    </row>
    <row r="147" spans="1:11" x14ac:dyDescent="0.35">
      <c r="A147" t="s">
        <v>239</v>
      </c>
      <c r="B147" t="s">
        <v>247</v>
      </c>
      <c r="C147" s="2">
        <v>34.58</v>
      </c>
      <c r="D147">
        <v>7</v>
      </c>
      <c r="E147" s="3">
        <v>0</v>
      </c>
      <c r="F147" s="4">
        <v>14.5236</v>
      </c>
      <c r="G147" t="str">
        <f>_xlfn.XLOOKUP(B147,'Cleaned Data'!I147:I301,'Cleaned Data'!L147:L301)</f>
        <v>C-Line Magnetic Cubicle Keepers, Clear Polypropylene</v>
      </c>
      <c r="H147" t="str">
        <f>_xlfn.XLOOKUP(B147,'Cleaned Data'!I147:I301,'Cleaned Data'!J147:J301)</f>
        <v>Furniture</v>
      </c>
      <c r="I147" t="str">
        <f>_xlfn.XLOOKUP(B147,'Cleaned Data'!I147:I301,'Cleaned Data'!K147:K301)</f>
        <v>Furnishings</v>
      </c>
      <c r="J147" t="str">
        <f>_xlfn.XLOOKUP(B147,'Cleaned Data'!I147:I301,'Cleaned Data'!H147:H301)</f>
        <v>Central</v>
      </c>
      <c r="K147" t="str">
        <f>_xlfn.XLOOKUP(B147,'Cleaned Data'!I147:I301,'Cleaned Data'!E147:E301)</f>
        <v>Corporate</v>
      </c>
    </row>
    <row r="148" spans="1:11" x14ac:dyDescent="0.35">
      <c r="A148" t="s">
        <v>441</v>
      </c>
      <c r="B148" t="s">
        <v>216</v>
      </c>
      <c r="C148" s="2">
        <v>129.30000000000001</v>
      </c>
      <c r="D148">
        <v>2</v>
      </c>
      <c r="E148" s="3">
        <v>0</v>
      </c>
      <c r="F148" s="4">
        <v>6.4649999999999999</v>
      </c>
      <c r="G148" t="str">
        <f>_xlfn.XLOOKUP(B148,'Cleaned Data'!I148:I302,'Cleaned Data'!L148:L302)</f>
        <v>Space Solutions Commercial Steel Shelving</v>
      </c>
      <c r="H148" t="str">
        <f>_xlfn.XLOOKUP(B148,'Cleaned Data'!I148:I302,'Cleaned Data'!J148:J302)</f>
        <v>Office Supplies</v>
      </c>
      <c r="I148" t="str">
        <f>_xlfn.XLOOKUP(B148,'Cleaned Data'!I148:I302,'Cleaned Data'!K148:K302)</f>
        <v>Storage</v>
      </c>
      <c r="J148" t="str">
        <f>_xlfn.XLOOKUP(B148,'Cleaned Data'!I148:I302,'Cleaned Data'!H148:H302)</f>
        <v>West</v>
      </c>
      <c r="K148" t="str">
        <f>_xlfn.XLOOKUP(B148,'Cleaned Data'!I148:I302,'Cleaned Data'!E148:E302)</f>
        <v>Consumer</v>
      </c>
    </row>
    <row r="149" spans="1:11" x14ac:dyDescent="0.35">
      <c r="A149" t="s">
        <v>472</v>
      </c>
      <c r="B149" t="s">
        <v>309</v>
      </c>
      <c r="C149" s="2">
        <v>12.74</v>
      </c>
      <c r="D149">
        <v>7</v>
      </c>
      <c r="E149" s="3">
        <v>0</v>
      </c>
      <c r="F149" s="4">
        <v>5.7329999999999997</v>
      </c>
      <c r="G149" t="str">
        <f>_xlfn.XLOOKUP(B149,'Cleaned Data'!I149:I303,'Cleaned Data'!L149:L303)</f>
        <v>Crayola Anti Dust Chalk, 12/Pack</v>
      </c>
      <c r="H149" t="str">
        <f>_xlfn.XLOOKUP(B149,'Cleaned Data'!I149:I303,'Cleaned Data'!J149:J303)</f>
        <v>Office Supplies</v>
      </c>
      <c r="I149" t="str">
        <f>_xlfn.XLOOKUP(B149,'Cleaned Data'!I149:I303,'Cleaned Data'!K149:K303)</f>
        <v>Art</v>
      </c>
      <c r="J149" t="str">
        <f>_xlfn.XLOOKUP(B149,'Cleaned Data'!I149:I303,'Cleaned Data'!H149:H303)</f>
        <v>West</v>
      </c>
      <c r="K149" t="str">
        <f>_xlfn.XLOOKUP(B149,'Cleaned Data'!I149:I303,'Cleaned Data'!E149:E303)</f>
        <v>Home Office</v>
      </c>
    </row>
    <row r="150" spans="1:11" x14ac:dyDescent="0.35">
      <c r="A150" t="s">
        <v>472</v>
      </c>
      <c r="B150" t="s">
        <v>473</v>
      </c>
      <c r="C150" s="2">
        <v>8.82</v>
      </c>
      <c r="D150">
        <v>3</v>
      </c>
      <c r="E150" s="3">
        <v>0</v>
      </c>
      <c r="F150" s="4">
        <v>2.3814000000000002</v>
      </c>
      <c r="G150" t="str">
        <f>_xlfn.XLOOKUP(B150,'Cleaned Data'!I150:I304,'Cleaned Data'!L150:L304)</f>
        <v>Newell 338</v>
      </c>
      <c r="H150" t="str">
        <f>_xlfn.XLOOKUP(B150,'Cleaned Data'!I150:I304,'Cleaned Data'!J150:J304)</f>
        <v>Office Supplies</v>
      </c>
      <c r="I150" t="str">
        <f>_xlfn.XLOOKUP(B150,'Cleaned Data'!I150:I304,'Cleaned Data'!K150:K304)</f>
        <v>Art</v>
      </c>
      <c r="J150" t="str">
        <f>_xlfn.XLOOKUP(B150,'Cleaned Data'!I150:I304,'Cleaned Data'!H150:H304)</f>
        <v>West</v>
      </c>
      <c r="K150" t="str">
        <f>_xlfn.XLOOKUP(B150,'Cleaned Data'!I150:I304,'Cleaned Data'!E150:E304)</f>
        <v>Home Office</v>
      </c>
    </row>
    <row r="151" spans="1:11" x14ac:dyDescent="0.35">
      <c r="A151" t="s">
        <v>472</v>
      </c>
      <c r="B151" t="s">
        <v>86</v>
      </c>
      <c r="C151" s="2">
        <v>120.78400000000001</v>
      </c>
      <c r="D151">
        <v>1</v>
      </c>
      <c r="E151" s="3">
        <v>0.2</v>
      </c>
      <c r="F151" s="4">
        <v>-13.588200000000001</v>
      </c>
      <c r="G151" t="str">
        <f>_xlfn.XLOOKUP(B151,'Cleaned Data'!I151:I305,'Cleaned Data'!L151:L305)</f>
        <v>Novimex Swivel Fabric Task Chair</v>
      </c>
      <c r="H151" t="str">
        <f>_xlfn.XLOOKUP(B151,'Cleaned Data'!I151:I305,'Cleaned Data'!J151:J305)</f>
        <v>Furniture</v>
      </c>
      <c r="I151" t="str">
        <f>_xlfn.XLOOKUP(B151,'Cleaned Data'!I151:I305,'Cleaned Data'!K151:K305)</f>
        <v>Chairs</v>
      </c>
      <c r="J151" t="str">
        <f>_xlfn.XLOOKUP(B151,'Cleaned Data'!I151:I305,'Cleaned Data'!H151:H305)</f>
        <v>West</v>
      </c>
      <c r="K151" t="str">
        <f>_xlfn.XLOOKUP(B151,'Cleaned Data'!I151:I305,'Cleaned Data'!E151:E305)</f>
        <v>Home Office</v>
      </c>
    </row>
    <row r="152" spans="1:11" x14ac:dyDescent="0.35">
      <c r="A152" t="s">
        <v>495</v>
      </c>
      <c r="B152" t="s">
        <v>496</v>
      </c>
      <c r="C152" s="2">
        <v>419.13600000000002</v>
      </c>
      <c r="D152">
        <v>4</v>
      </c>
      <c r="E152" s="3">
        <v>0.2</v>
      </c>
      <c r="F152" s="4">
        <v>-68.1096</v>
      </c>
      <c r="G152" t="str">
        <f>_xlfn.XLOOKUP(B152,'Cleaned Data'!I152:I306,'Cleaned Data'!L152:L306)</f>
        <v>Office Star - Contemporary Task Swivel chair with 2-way adjustable arms, Plum</v>
      </c>
      <c r="H152" t="str">
        <f>_xlfn.XLOOKUP(B152,'Cleaned Data'!I152:I306,'Cleaned Data'!J152:J306)</f>
        <v>Furniture</v>
      </c>
      <c r="I152" t="str">
        <f>_xlfn.XLOOKUP(B152,'Cleaned Data'!I152:I306,'Cleaned Data'!K152:K306)</f>
        <v>Chairs</v>
      </c>
      <c r="J152" t="str">
        <f>_xlfn.XLOOKUP(B152,'Cleaned Data'!I152:I306,'Cleaned Data'!H152:H306)</f>
        <v>South</v>
      </c>
      <c r="K152" t="str">
        <f>_xlfn.XLOOKUP(B152,'Cleaned Data'!I152:I306,'Cleaned Data'!E152:E306)</f>
        <v>Consumer</v>
      </c>
    </row>
    <row r="153" spans="1:11" x14ac:dyDescent="0.35">
      <c r="A153" t="s">
        <v>527</v>
      </c>
      <c r="B153" t="s">
        <v>458</v>
      </c>
      <c r="C153" s="2">
        <v>69.375</v>
      </c>
      <c r="D153">
        <v>1</v>
      </c>
      <c r="E153" s="3">
        <v>0.5</v>
      </c>
      <c r="F153" s="4">
        <v>-47.174999999999997</v>
      </c>
      <c r="G153" t="str">
        <f>_xlfn.XLOOKUP(B153,'Cleaned Data'!I153:I307,'Cleaned Data'!L153:L307)</f>
        <v>Balt Split Level Computer Training Table</v>
      </c>
      <c r="H153" t="str">
        <f>_xlfn.XLOOKUP(B153,'Cleaned Data'!I153:I307,'Cleaned Data'!J153:J307)</f>
        <v>Furniture</v>
      </c>
      <c r="I153" t="str">
        <f>_xlfn.XLOOKUP(B153,'Cleaned Data'!I153:I307,'Cleaned Data'!K153:K307)</f>
        <v>Tables</v>
      </c>
      <c r="J153" t="str">
        <f>_xlfn.XLOOKUP(B153,'Cleaned Data'!I153:I307,'Cleaned Data'!H153:H307)</f>
        <v>Central</v>
      </c>
      <c r="K153" t="str">
        <f>_xlfn.XLOOKUP(B153,'Cleaned Data'!I153:I307,'Cleaned Data'!E153:E307)</f>
        <v>Consumer</v>
      </c>
    </row>
    <row r="154" spans="1:11" x14ac:dyDescent="0.35">
      <c r="A154" t="s">
        <v>527</v>
      </c>
      <c r="B154" t="s">
        <v>218</v>
      </c>
      <c r="C154" s="2">
        <v>31.68</v>
      </c>
      <c r="D154">
        <v>4</v>
      </c>
      <c r="E154" s="3">
        <v>0.2</v>
      </c>
      <c r="F154" s="4">
        <v>2.7719999999999998</v>
      </c>
      <c r="G154" t="str">
        <f>_xlfn.XLOOKUP(B154,'Cleaned Data'!I154:I308,'Cleaned Data'!L154:L308)</f>
        <v>Acme Tagit Stainless Steel Antibacterial Scissors</v>
      </c>
      <c r="H154" t="str">
        <f>_xlfn.XLOOKUP(B154,'Cleaned Data'!I154:I308,'Cleaned Data'!J154:J308)</f>
        <v>Office Supplies</v>
      </c>
      <c r="I154" t="str">
        <f>_xlfn.XLOOKUP(B154,'Cleaned Data'!I154:I308,'Cleaned Data'!K154:K308)</f>
        <v>Supplies</v>
      </c>
      <c r="J154" t="str">
        <f>_xlfn.XLOOKUP(B154,'Cleaned Data'!I154:I308,'Cleaned Data'!H154:H308)</f>
        <v>Central</v>
      </c>
      <c r="K154" t="str">
        <f>_xlfn.XLOOKUP(B154,'Cleaned Data'!I154:I308,'Cleaned Data'!E154:E308)</f>
        <v>Consumer</v>
      </c>
    </row>
    <row r="155" spans="1:11" x14ac:dyDescent="0.35">
      <c r="A155" t="s">
        <v>527</v>
      </c>
      <c r="B155" t="s">
        <v>486</v>
      </c>
      <c r="C155" s="2">
        <v>2003.1679999999999</v>
      </c>
      <c r="D155">
        <v>4</v>
      </c>
      <c r="E155" s="3">
        <v>0.2</v>
      </c>
      <c r="F155" s="4">
        <v>250.39599999999999</v>
      </c>
      <c r="G155" t="str">
        <f>_xlfn.XLOOKUP(B155,'Cleaned Data'!I155:I309,'Cleaned Data'!L155:L309)</f>
        <v>Samsung Galaxy S4</v>
      </c>
      <c r="H155" t="str">
        <f>_xlfn.XLOOKUP(B155,'Cleaned Data'!I155:I309,'Cleaned Data'!J155:J309)</f>
        <v>Technology</v>
      </c>
      <c r="I155" t="str">
        <f>_xlfn.XLOOKUP(B155,'Cleaned Data'!I155:I309,'Cleaned Data'!K155:K309)</f>
        <v>Phones</v>
      </c>
      <c r="J155" t="str">
        <f>_xlfn.XLOOKUP(B155,'Cleaned Data'!I155:I309,'Cleaned Data'!H155:H309)</f>
        <v>Central</v>
      </c>
      <c r="K155" t="str">
        <f>_xlfn.XLOOKUP(B155,'Cleaned Data'!I155:I309,'Cleaned Data'!E155:E309)</f>
        <v>Consumer</v>
      </c>
    </row>
    <row r="156" spans="1:11" x14ac:dyDescent="0.35">
      <c r="A156" t="s">
        <v>527</v>
      </c>
      <c r="B156" t="s">
        <v>132</v>
      </c>
      <c r="C156" s="2">
        <v>9.3439999999999994</v>
      </c>
      <c r="D156">
        <v>2</v>
      </c>
      <c r="E156" s="3">
        <v>0.2</v>
      </c>
      <c r="F156" s="4">
        <v>3.1536</v>
      </c>
      <c r="G156" t="str">
        <f>_xlfn.XLOOKUP(B156,'Cleaned Data'!I156:I310,'Cleaned Data'!L156:L310)</f>
        <v>Quartet Omega Colored Chalk, 12/Pack</v>
      </c>
      <c r="H156" t="str">
        <f>_xlfn.XLOOKUP(B156,'Cleaned Data'!I156:I310,'Cleaned Data'!J156:J310)</f>
        <v>Office Supplies</v>
      </c>
      <c r="I156" t="str">
        <f>_xlfn.XLOOKUP(B156,'Cleaned Data'!I156:I310,'Cleaned Data'!K156:K310)</f>
        <v>Art</v>
      </c>
      <c r="J156" t="str">
        <f>_xlfn.XLOOKUP(B156,'Cleaned Data'!I156:I310,'Cleaned Data'!H156:H310)</f>
        <v>Central</v>
      </c>
      <c r="K156" t="str">
        <f>_xlfn.XLOOKUP(B156,'Cleaned Data'!I156:I310,'Cleaned Data'!E156:E310)</f>
        <v>Consumer</v>
      </c>
    </row>
    <row r="157" spans="1:11" x14ac:dyDescent="0.35">
      <c r="A157" t="s">
        <v>530</v>
      </c>
      <c r="B157" t="s">
        <v>34</v>
      </c>
      <c r="C157" s="2">
        <v>604.76800000000003</v>
      </c>
      <c r="D157">
        <v>4</v>
      </c>
      <c r="E157" s="3">
        <v>0.2</v>
      </c>
      <c r="F157" s="4">
        <v>60.476799999999997</v>
      </c>
      <c r="G157" t="str">
        <f>_xlfn.XLOOKUP(B157,'Cleaned Data'!I157:I311,'Cleaned Data'!L157:L311)</f>
        <v>Mitel 5320 IP Phone VoIP phone</v>
      </c>
      <c r="H157" t="str">
        <f>_xlfn.XLOOKUP(B157,'Cleaned Data'!I157:I311,'Cleaned Data'!J157:J311)</f>
        <v>Technology</v>
      </c>
      <c r="I157" t="str">
        <f>_xlfn.XLOOKUP(B157,'Cleaned Data'!I157:I311,'Cleaned Data'!K157:K311)</f>
        <v>Phones</v>
      </c>
      <c r="J157" t="str">
        <f>_xlfn.XLOOKUP(B157,'Cleaned Data'!I157:I311,'Cleaned Data'!H157:H311)</f>
        <v>West</v>
      </c>
      <c r="K157" t="str">
        <f>_xlfn.XLOOKUP(B157,'Cleaned Data'!I157:I311,'Cleaned Data'!E157:E311)</f>
        <v>Home Office</v>
      </c>
    </row>
  </sheetData>
  <mergeCells count="1">
    <mergeCell ref="A1:I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BEDFA-8270-4489-A2AC-FDFB21DBB187}">
  <dimension ref="A1:J21"/>
  <sheetViews>
    <sheetView workbookViewId="0">
      <selection activeCell="G14" sqref="G14"/>
    </sheetView>
  </sheetViews>
  <sheetFormatPr defaultRowHeight="14.5" x14ac:dyDescent="0.35"/>
  <cols>
    <col min="1" max="1" width="13" bestFit="1" customWidth="1"/>
    <col min="2" max="2" width="11.1796875" customWidth="1"/>
    <col min="3" max="3" width="9.26953125" bestFit="1" customWidth="1"/>
    <col min="4" max="4" width="10.1796875" bestFit="1" customWidth="1"/>
    <col min="5" max="5" width="8" bestFit="1" customWidth="1"/>
    <col min="6" max="6" width="19.1796875" bestFit="1" customWidth="1"/>
    <col min="8" max="8" width="11.36328125" bestFit="1" customWidth="1"/>
    <col min="10" max="10" width="17.6328125" bestFit="1" customWidth="1"/>
  </cols>
  <sheetData>
    <row r="1" spans="1:10" ht="16" x14ac:dyDescent="0.4">
      <c r="A1" s="13" t="s">
        <v>721</v>
      </c>
      <c r="B1" s="14"/>
      <c r="C1" s="14"/>
      <c r="D1" s="14"/>
      <c r="E1" s="14"/>
      <c r="F1" s="14"/>
    </row>
    <row r="2" spans="1:10" x14ac:dyDescent="0.35">
      <c r="A2" s="6" t="s">
        <v>6</v>
      </c>
      <c r="B2" s="6" t="s">
        <v>9</v>
      </c>
      <c r="C2" s="6" t="s">
        <v>717</v>
      </c>
      <c r="D2" s="6" t="s">
        <v>12</v>
      </c>
      <c r="E2" s="6" t="s">
        <v>10</v>
      </c>
      <c r="F2" s="6" t="s">
        <v>718</v>
      </c>
      <c r="H2" s="6" t="s">
        <v>742</v>
      </c>
      <c r="J2" s="6" t="s">
        <v>743</v>
      </c>
    </row>
    <row r="3" spans="1:10" x14ac:dyDescent="0.35">
      <c r="A3" t="s">
        <v>55</v>
      </c>
      <c r="B3" s="2">
        <f>SUMIFS('Order Details'!C3:C157,'Order Details'!J3:J157,Calculations!A3)</f>
        <v>5383.2839999999987</v>
      </c>
      <c r="C3" s="10">
        <f>SUMIFS('Order Details'!E3:E157,'Order Details'!J3:J157,Calculations!A3)</f>
        <v>3.5000000000000004</v>
      </c>
      <c r="D3" s="2">
        <f>SUMIFS('Order Details'!F3:F157,'Order Details'!J3:J157,Calculations!A3)</f>
        <v>355.8694000000001</v>
      </c>
      <c r="E3">
        <f>SUMIFS('Order Details'!D3:D157,'Order Details'!J3:J157,Calculations!A3)</f>
        <v>76</v>
      </c>
      <c r="F3">
        <f>COUNTIFS(Orders!E3:E157,Calculations!A3)</f>
        <v>14</v>
      </c>
      <c r="H3" s="10">
        <f>D7/B7</f>
        <v>0.16238835520582096</v>
      </c>
      <c r="J3" s="4">
        <f>B7/F7</f>
        <v>637.2662898550725</v>
      </c>
    </row>
    <row r="4" spans="1:10" x14ac:dyDescent="0.35">
      <c r="A4" t="s">
        <v>21</v>
      </c>
      <c r="B4" s="2">
        <f>SUMIFS('Order Details'!C3:C157,'Order Details'!J3:J157,A4)</f>
        <v>12081.843999999997</v>
      </c>
      <c r="C4" s="10">
        <f>SUMIFS('Order Details'!E3:E157,'Order Details'!J3:J157,A4)</f>
        <v>4.1000000000000005</v>
      </c>
      <c r="D4" s="2">
        <f>SUMIFS('Order Details'!F3:F157,'Order Details'!J3:J157,A4)</f>
        <v>3208.3329000000003</v>
      </c>
      <c r="E4">
        <f>SUMIFS('Order Details'!D3:D157,'Order Details'!J3:J157,A4)</f>
        <v>208</v>
      </c>
      <c r="F4">
        <f>COUNTIFS(Orders!E3:E157,A4)</f>
        <v>24</v>
      </c>
    </row>
    <row r="5" spans="1:10" x14ac:dyDescent="0.35">
      <c r="A5" t="s">
        <v>48</v>
      </c>
      <c r="B5" s="2">
        <f>SUMIFS('Order Details'!C3:C157,'Order Details'!J3:J157,A5)</f>
        <v>21690.656000000003</v>
      </c>
      <c r="C5" s="10">
        <f>SUMIFS('Order Details'!E3:E157,'Order Details'!J3:J157,A5)</f>
        <v>11.299999999999994</v>
      </c>
      <c r="D5" s="2">
        <f>SUMIFS('Order Details'!F3:F157,'Order Details'!J3:J157,A5)</f>
        <v>2865.9344999999998</v>
      </c>
      <c r="E5">
        <f>SUMIFS('Order Details'!D3:D157,'Order Details'!J3:J157,A5)</f>
        <v>224</v>
      </c>
      <c r="F5">
        <f>COUNTIFS(Orders!E3:E157,A5)</f>
        <v>21</v>
      </c>
    </row>
    <row r="6" spans="1:10" x14ac:dyDescent="0.35">
      <c r="A6" t="s">
        <v>14</v>
      </c>
      <c r="B6" s="2">
        <f>SUMIFS('Order Details'!C3:C157,'Order Details'!J3:J157,A6)</f>
        <v>4815.5900000000011</v>
      </c>
      <c r="C6" s="10">
        <f>SUMIFS('Order Details'!E3:E157,'Order Details'!J3:J157,A6)</f>
        <v>6.1000000000000014</v>
      </c>
      <c r="D6" s="2">
        <f>SUMIFS('Order Details'!F3:F157,'Order Details'!J3:J157,A6)</f>
        <v>710.30229999999995</v>
      </c>
      <c r="E6">
        <f>SUMIFS('Order Details'!D3:D157,'Order Details'!J3:J157,A6)</f>
        <v>89</v>
      </c>
      <c r="F6">
        <f>COUNTIFS(Orders!E3:E157,A6)</f>
        <v>10</v>
      </c>
    </row>
    <row r="7" spans="1:10" x14ac:dyDescent="0.35">
      <c r="A7" t="s">
        <v>716</v>
      </c>
      <c r="B7" s="2">
        <f>SUM(B3:B6)</f>
        <v>43971.374000000003</v>
      </c>
      <c r="C7" s="3">
        <f>SUM(C3:C6)</f>
        <v>24.999999999999996</v>
      </c>
      <c r="D7" s="4">
        <f>SUM(D3:D6)</f>
        <v>7140.4391000000005</v>
      </c>
      <c r="E7">
        <f>SUM(E3:E6)</f>
        <v>597</v>
      </c>
      <c r="F7">
        <f>SUM(F3:F6)</f>
        <v>69</v>
      </c>
    </row>
    <row r="8" spans="1:10" x14ac:dyDescent="0.35">
      <c r="C8" s="4"/>
    </row>
    <row r="9" spans="1:10" ht="16" x14ac:dyDescent="0.4">
      <c r="A9" s="13" t="s">
        <v>722</v>
      </c>
      <c r="B9" s="14"/>
      <c r="C9" s="14"/>
      <c r="D9" s="14"/>
      <c r="E9" s="14"/>
      <c r="F9" s="14"/>
    </row>
    <row r="10" spans="1:10" x14ac:dyDescent="0.35">
      <c r="A10" s="6" t="s">
        <v>3</v>
      </c>
      <c r="B10" s="6" t="s">
        <v>9</v>
      </c>
      <c r="C10" s="6" t="s">
        <v>717</v>
      </c>
      <c r="D10" s="6" t="s">
        <v>12</v>
      </c>
      <c r="E10" s="6" t="s">
        <v>10</v>
      </c>
      <c r="F10" s="6" t="s">
        <v>720</v>
      </c>
    </row>
    <row r="11" spans="1:10" x14ac:dyDescent="0.35">
      <c r="A11" t="s">
        <v>687</v>
      </c>
      <c r="B11" s="2">
        <f>SUMIFS('Order Details'!C3:C157,'Order Details'!K3:K157,Calculations!A11)</f>
        <v>23211.841000000004</v>
      </c>
      <c r="C11" s="10">
        <f>SUMIFS('Order Details'!E3:E157,'Order Details'!K3:K157,Calculations!A11)</f>
        <v>17.399999999999988</v>
      </c>
      <c r="D11" s="2">
        <f>SUMIFS('Order Details'!F3:F157,'Order Details'!K3:K157,Calculations!A11)</f>
        <v>4679.9509999999982</v>
      </c>
      <c r="E11">
        <f>SUMIFS('Order Details'!D3:D157,'Order Details'!K3:K157,Calculations!A11)</f>
        <v>314</v>
      </c>
      <c r="F11">
        <f>COUNTIFS(Customers!C3:C69,Calculations!A11)</f>
        <v>38</v>
      </c>
    </row>
    <row r="12" spans="1:10" x14ac:dyDescent="0.35">
      <c r="A12" t="s">
        <v>47</v>
      </c>
      <c r="B12" s="2">
        <f>SUMIFS('Order Details'!C3:C157,'Order Details'!K3:K157,A12)</f>
        <v>8538.3009999999995</v>
      </c>
      <c r="C12" s="10">
        <f>SUMIFS('Order Details'!E3:E157,'Order Details'!K3:K157,A12)</f>
        <v>2.9000000000000004</v>
      </c>
      <c r="D12" s="2">
        <f>SUMIFS('Order Details'!F3:F157,'Order Details'!K3:K157,A12)</f>
        <v>2413.9002</v>
      </c>
      <c r="E12">
        <f>SUMIFS('Order Details'!D3:D157,'Order Details'!K3:K157,A12)</f>
        <v>147</v>
      </c>
      <c r="F12">
        <f>COUNTIFS(Customers!C3:C69,A12)</f>
        <v>13</v>
      </c>
    </row>
    <row r="13" spans="1:10" x14ac:dyDescent="0.35">
      <c r="A13" t="s">
        <v>18</v>
      </c>
      <c r="B13" s="2">
        <f>SUMIFS('Order Details'!C3:C157,'Order Details'!K3:K157,A13)</f>
        <v>12221.232</v>
      </c>
      <c r="C13" s="10">
        <f>SUMIFS('Order Details'!E3:E157,'Order Details'!K3:K157,A13)</f>
        <v>4.7000000000000011</v>
      </c>
      <c r="D13" s="2">
        <f>SUMIFS('Order Details'!F3:F157,'Order Details'!K3:K157,A13)</f>
        <v>46.587899999999976</v>
      </c>
      <c r="E13">
        <f>SUMIFS('Order Details'!D3:D157,'Order Details'!K3:K157,A13)</f>
        <v>136</v>
      </c>
      <c r="F13">
        <f>COUNTIFS(Customers!C3:C69,A13)</f>
        <v>16</v>
      </c>
    </row>
    <row r="14" spans="1:10" x14ac:dyDescent="0.35">
      <c r="A14" t="s">
        <v>716</v>
      </c>
      <c r="B14" s="2">
        <f>SUM(B11:B13)</f>
        <v>43971.374000000003</v>
      </c>
      <c r="C14" s="10">
        <f>SUM(C11:C13)</f>
        <v>24.999999999999993</v>
      </c>
      <c r="D14" s="2">
        <f>SUM(D11:D13)</f>
        <v>7140.4390999999978</v>
      </c>
      <c r="E14">
        <f>SUM(E11:E13)</f>
        <v>597</v>
      </c>
      <c r="F14">
        <f>SUM(F11:F13)</f>
        <v>67</v>
      </c>
    </row>
    <row r="16" spans="1:10" ht="16" x14ac:dyDescent="0.4">
      <c r="A16" s="13" t="s">
        <v>723</v>
      </c>
      <c r="B16" s="14"/>
      <c r="C16" s="14"/>
      <c r="D16" s="14"/>
      <c r="E16" s="14"/>
      <c r="F16" s="14"/>
    </row>
    <row r="17" spans="1:6" x14ac:dyDescent="0.35">
      <c r="A17" s="6" t="s">
        <v>7</v>
      </c>
      <c r="B17" s="6" t="s">
        <v>9</v>
      </c>
      <c r="C17" s="6" t="s">
        <v>717</v>
      </c>
      <c r="D17" s="6" t="s">
        <v>12</v>
      </c>
      <c r="E17" s="6" t="s">
        <v>10</v>
      </c>
      <c r="F17" s="6" t="s">
        <v>719</v>
      </c>
    </row>
    <row r="18" spans="1:6" x14ac:dyDescent="0.35">
      <c r="A18" t="s">
        <v>15</v>
      </c>
      <c r="B18" s="2">
        <f>SUMIFS('Order Details'!C3:C157,'Order Details'!H3:H157,Calculations!A18)</f>
        <v>5964.0319999999983</v>
      </c>
      <c r="C18" s="10">
        <f>SUMIFS('Order Details'!E3:E157,'Order Details'!H3:H157,Calculations!A18)</f>
        <v>3.1000000000000005</v>
      </c>
      <c r="D18" s="2">
        <f>SUMIFS('Order Details'!F3:F157,'Order Details'!H3:H157,Calculations!A18)</f>
        <v>-39.440199999999962</v>
      </c>
      <c r="E18">
        <f>SUMIFS('Order Details'!D3:D157,'Order Details'!H3:H157,Calculations!A18)</f>
        <v>86</v>
      </c>
      <c r="F18">
        <f>COUNTIFS(Products!B3:B154,Calculations!A18)</f>
        <v>24</v>
      </c>
    </row>
    <row r="19" spans="1:6" x14ac:dyDescent="0.35">
      <c r="A19" t="s">
        <v>684</v>
      </c>
      <c r="B19" s="2">
        <f>SUMIFS('Order Details'!C3:C157,'Order Details'!H3:H157,A19)</f>
        <v>21274.288999999993</v>
      </c>
      <c r="C19" s="10">
        <f>SUMIFS('Order Details'!E3:E157,'Order Details'!H3:H157,A19)</f>
        <v>17.799999999999983</v>
      </c>
      <c r="D19" s="2">
        <f>SUMIFS('Order Details'!F3:F157,'Order Details'!H3:H157,A19)</f>
        <v>3260.4466999999986</v>
      </c>
      <c r="E19">
        <f>SUMIFS('Order Details'!D3:D157,'Order Details'!H3:H157,A19)</f>
        <v>395</v>
      </c>
      <c r="F19">
        <f>COUNTIFS(Products!B3:B154,A19)</f>
        <v>98</v>
      </c>
    </row>
    <row r="20" spans="1:6" x14ac:dyDescent="0.35">
      <c r="A20" t="s">
        <v>35</v>
      </c>
      <c r="B20" s="2">
        <f>SUMIFS('Order Details'!C3:C157,'Order Details'!H3:H157,A20)</f>
        <v>16733.053</v>
      </c>
      <c r="C20" s="10">
        <f>SUMIFS('Order Details'!E3:E157,'Order Details'!H3:H157,A20)</f>
        <v>4.1000000000000014</v>
      </c>
      <c r="D20" s="2">
        <f>SUMIFS('Order Details'!F3:F157,'Order Details'!H3:H157,A20)</f>
        <v>3919.4326000000005</v>
      </c>
      <c r="E20">
        <f>SUMIFS('Order Details'!D3:D157,'Order Details'!H3:H157,A20)</f>
        <v>116</v>
      </c>
      <c r="F20">
        <f>COUNTIFS(Products!B3:B154,A20)</f>
        <v>30</v>
      </c>
    </row>
    <row r="21" spans="1:6" x14ac:dyDescent="0.35">
      <c r="A21" t="s">
        <v>716</v>
      </c>
      <c r="B21" s="2">
        <f>SUM(B18:B20)</f>
        <v>43971.373999999996</v>
      </c>
      <c r="C21" s="10">
        <f>SUM(C18:C20)</f>
        <v>24.999999999999986</v>
      </c>
      <c r="D21" s="2">
        <f>SUM(D18:D20)</f>
        <v>7140.4390999999996</v>
      </c>
      <c r="E21">
        <f>SUM(E18:E20)</f>
        <v>597</v>
      </c>
      <c r="F21">
        <f>SUM(F18:F20)</f>
        <v>152</v>
      </c>
    </row>
  </sheetData>
  <mergeCells count="3">
    <mergeCell ref="A1:F1"/>
    <mergeCell ref="A9:F9"/>
    <mergeCell ref="A16:F1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07819-902F-40F0-86FD-ABD8E40D68AC}">
  <dimension ref="A1:H157"/>
  <sheetViews>
    <sheetView workbookViewId="0">
      <selection activeCell="H12" sqref="H12"/>
    </sheetView>
  </sheetViews>
  <sheetFormatPr defaultRowHeight="14.5" x14ac:dyDescent="0.35"/>
  <cols>
    <col min="1" max="1" width="14.54296875" bestFit="1" customWidth="1"/>
    <col min="2" max="2" width="16.08984375" bestFit="1" customWidth="1"/>
    <col min="3" max="3" width="10.1796875" style="2" bestFit="1" customWidth="1"/>
    <col min="4" max="4" width="8" bestFit="1" customWidth="1"/>
    <col min="5" max="5" width="8.36328125" style="3" bestFit="1" customWidth="1"/>
    <col min="6" max="6" width="10.81640625" style="4" bestFit="1" customWidth="1"/>
    <col min="8" max="8" width="12" bestFit="1" customWidth="1"/>
  </cols>
  <sheetData>
    <row r="1" spans="1:8" ht="16" x14ac:dyDescent="0.4">
      <c r="A1" s="13" t="s">
        <v>724</v>
      </c>
      <c r="B1" s="14"/>
      <c r="C1" s="14"/>
      <c r="D1" s="14"/>
      <c r="E1" s="14"/>
      <c r="F1" s="14"/>
    </row>
    <row r="2" spans="1:8" x14ac:dyDescent="0.35">
      <c r="A2" s="6" t="s">
        <v>0</v>
      </c>
      <c r="B2" s="6" t="s">
        <v>685</v>
      </c>
      <c r="C2" s="7" t="s">
        <v>9</v>
      </c>
      <c r="D2" s="6" t="s">
        <v>10</v>
      </c>
      <c r="E2" s="8" t="s">
        <v>11</v>
      </c>
      <c r="F2" s="9" t="s">
        <v>12</v>
      </c>
    </row>
    <row r="3" spans="1:8" x14ac:dyDescent="0.35">
      <c r="A3" t="s">
        <v>255</v>
      </c>
      <c r="B3" t="s">
        <v>258</v>
      </c>
      <c r="C3" s="2">
        <v>48.896000000000001</v>
      </c>
      <c r="D3">
        <v>4</v>
      </c>
      <c r="E3" s="3">
        <v>0.2</v>
      </c>
      <c r="F3" s="4">
        <v>8.5568000000000008</v>
      </c>
      <c r="G3" s="4"/>
      <c r="H3" s="6" t="s">
        <v>725</v>
      </c>
    </row>
    <row r="4" spans="1:8" x14ac:dyDescent="0.35">
      <c r="A4" t="s">
        <v>468</v>
      </c>
      <c r="B4" t="s">
        <v>469</v>
      </c>
      <c r="C4" s="2">
        <v>474.43</v>
      </c>
      <c r="D4">
        <v>11</v>
      </c>
      <c r="E4" s="3">
        <v>0</v>
      </c>
      <c r="F4" s="4">
        <v>199.26060000000001</v>
      </c>
      <c r="H4" s="4">
        <f>AVERAGE(F3:F157)</f>
        <v>46.067349032258072</v>
      </c>
    </row>
    <row r="5" spans="1:8" x14ac:dyDescent="0.35">
      <c r="A5" t="s">
        <v>511</v>
      </c>
      <c r="B5" t="s">
        <v>282</v>
      </c>
      <c r="C5" s="2">
        <v>3.6</v>
      </c>
      <c r="D5">
        <v>2</v>
      </c>
      <c r="E5" s="3">
        <v>0</v>
      </c>
      <c r="F5" s="4">
        <v>1.728</v>
      </c>
    </row>
    <row r="6" spans="1:8" x14ac:dyDescent="0.35">
      <c r="A6" t="s">
        <v>526</v>
      </c>
      <c r="B6" t="s">
        <v>170</v>
      </c>
      <c r="C6" s="2">
        <v>454.56</v>
      </c>
      <c r="D6">
        <v>5</v>
      </c>
      <c r="E6" s="3">
        <v>0.2</v>
      </c>
      <c r="F6" s="4">
        <v>-107.958</v>
      </c>
    </row>
    <row r="7" spans="1:8" x14ac:dyDescent="0.35">
      <c r="A7" t="s">
        <v>526</v>
      </c>
      <c r="B7" t="s">
        <v>442</v>
      </c>
      <c r="C7" s="2">
        <v>141.41999999999999</v>
      </c>
      <c r="D7">
        <v>5</v>
      </c>
      <c r="E7" s="3">
        <v>0.6</v>
      </c>
      <c r="F7" s="4">
        <v>-187.38149999999999</v>
      </c>
    </row>
    <row r="8" spans="1:8" x14ac:dyDescent="0.35">
      <c r="A8" t="s">
        <v>526</v>
      </c>
      <c r="B8" t="s">
        <v>250</v>
      </c>
      <c r="C8" s="2">
        <v>310.74400000000003</v>
      </c>
      <c r="D8">
        <v>4</v>
      </c>
      <c r="E8" s="3">
        <v>0.3</v>
      </c>
      <c r="F8" s="4">
        <v>-26.635200000000001</v>
      </c>
    </row>
    <row r="9" spans="1:8" x14ac:dyDescent="0.35">
      <c r="A9" t="s">
        <v>526</v>
      </c>
      <c r="B9" t="s">
        <v>268</v>
      </c>
      <c r="C9" s="2">
        <v>12.736000000000001</v>
      </c>
      <c r="D9">
        <v>4</v>
      </c>
      <c r="E9" s="3">
        <v>0.2</v>
      </c>
      <c r="F9" s="4">
        <v>2.2288000000000001</v>
      </c>
    </row>
    <row r="10" spans="1:8" x14ac:dyDescent="0.35">
      <c r="A10" t="s">
        <v>526</v>
      </c>
      <c r="B10" t="s">
        <v>243</v>
      </c>
      <c r="C10" s="2">
        <v>6.47</v>
      </c>
      <c r="D10">
        <v>5</v>
      </c>
      <c r="E10" s="3">
        <v>0.8</v>
      </c>
      <c r="F10" s="4">
        <v>-9.7050000000000001</v>
      </c>
    </row>
    <row r="11" spans="1:8" x14ac:dyDescent="0.35">
      <c r="A11" t="s">
        <v>526</v>
      </c>
      <c r="B11" t="s">
        <v>122</v>
      </c>
      <c r="C11" s="2">
        <v>13.747999999999999</v>
      </c>
      <c r="D11">
        <v>14</v>
      </c>
      <c r="E11" s="3">
        <v>0.8</v>
      </c>
      <c r="F11" s="4">
        <v>-22.684200000000001</v>
      </c>
    </row>
    <row r="12" spans="1:8" x14ac:dyDescent="0.35">
      <c r="A12" t="s">
        <v>526</v>
      </c>
      <c r="B12" t="s">
        <v>204</v>
      </c>
      <c r="C12" s="2">
        <v>15.224</v>
      </c>
      <c r="D12">
        <v>2</v>
      </c>
      <c r="E12" s="3">
        <v>0.8</v>
      </c>
      <c r="F12" s="4">
        <v>-38.821199999999997</v>
      </c>
    </row>
    <row r="13" spans="1:8" x14ac:dyDescent="0.35">
      <c r="A13" t="s">
        <v>323</v>
      </c>
      <c r="B13" t="s">
        <v>325</v>
      </c>
      <c r="C13" s="2">
        <v>695.7</v>
      </c>
      <c r="D13">
        <v>2</v>
      </c>
      <c r="E13" s="3">
        <v>0.5</v>
      </c>
      <c r="F13" s="4">
        <v>-27.827999999999999</v>
      </c>
    </row>
    <row r="14" spans="1:8" x14ac:dyDescent="0.35">
      <c r="A14" t="s">
        <v>323</v>
      </c>
      <c r="B14" t="s">
        <v>311</v>
      </c>
      <c r="C14" s="2">
        <v>15.66</v>
      </c>
      <c r="D14">
        <v>5</v>
      </c>
      <c r="E14" s="3">
        <v>0.7</v>
      </c>
      <c r="F14" s="4">
        <v>-12.528</v>
      </c>
    </row>
    <row r="15" spans="1:8" x14ac:dyDescent="0.35">
      <c r="A15" t="s">
        <v>323</v>
      </c>
      <c r="B15" t="s">
        <v>60</v>
      </c>
      <c r="C15" s="2">
        <v>28.853999999999999</v>
      </c>
      <c r="D15">
        <v>6</v>
      </c>
      <c r="E15" s="3">
        <v>0.7</v>
      </c>
      <c r="F15" s="4">
        <v>-21.159600000000001</v>
      </c>
    </row>
    <row r="16" spans="1:8" x14ac:dyDescent="0.35">
      <c r="A16" t="s">
        <v>529</v>
      </c>
      <c r="B16" t="s">
        <v>348</v>
      </c>
      <c r="C16" s="2">
        <v>31.744</v>
      </c>
      <c r="D16">
        <v>2</v>
      </c>
      <c r="E16" s="3">
        <v>0.2</v>
      </c>
      <c r="F16" s="4">
        <v>3.968</v>
      </c>
    </row>
    <row r="17" spans="1:6" x14ac:dyDescent="0.35">
      <c r="A17" t="s">
        <v>529</v>
      </c>
      <c r="B17" t="s">
        <v>522</v>
      </c>
      <c r="C17" s="2">
        <v>5.4320000000000004</v>
      </c>
      <c r="D17">
        <v>2</v>
      </c>
      <c r="E17" s="3">
        <v>0.8</v>
      </c>
      <c r="F17" s="4">
        <v>-13.58</v>
      </c>
    </row>
    <row r="18" spans="1:6" x14ac:dyDescent="0.35">
      <c r="A18" t="s">
        <v>529</v>
      </c>
      <c r="B18" t="s">
        <v>334</v>
      </c>
      <c r="C18" s="2">
        <v>913.43</v>
      </c>
      <c r="D18">
        <v>5</v>
      </c>
      <c r="E18" s="3">
        <v>0.3</v>
      </c>
      <c r="F18" s="4">
        <v>-169.637</v>
      </c>
    </row>
    <row r="19" spans="1:6" x14ac:dyDescent="0.35">
      <c r="A19" t="s">
        <v>529</v>
      </c>
      <c r="B19" t="s">
        <v>439</v>
      </c>
      <c r="C19" s="2">
        <v>372.14400000000001</v>
      </c>
      <c r="D19">
        <v>3</v>
      </c>
      <c r="E19" s="3">
        <v>0.2</v>
      </c>
      <c r="F19" s="4">
        <v>27.910799999999998</v>
      </c>
    </row>
    <row r="20" spans="1:6" x14ac:dyDescent="0.35">
      <c r="A20" t="s">
        <v>538</v>
      </c>
      <c r="B20" t="s">
        <v>419</v>
      </c>
      <c r="C20" s="2">
        <v>16.59</v>
      </c>
      <c r="D20">
        <v>1</v>
      </c>
      <c r="E20" s="3">
        <v>0</v>
      </c>
      <c r="F20" s="4">
        <v>5.8064999999999998</v>
      </c>
    </row>
    <row r="21" spans="1:6" x14ac:dyDescent="0.35">
      <c r="A21" t="s">
        <v>492</v>
      </c>
      <c r="B21" t="s">
        <v>307</v>
      </c>
      <c r="C21" s="2">
        <v>38.880000000000003</v>
      </c>
      <c r="D21">
        <v>6</v>
      </c>
      <c r="E21" s="3">
        <v>0</v>
      </c>
      <c r="F21" s="4">
        <v>18.662400000000002</v>
      </c>
    </row>
    <row r="22" spans="1:6" x14ac:dyDescent="0.35">
      <c r="A22" t="s">
        <v>535</v>
      </c>
      <c r="B22" t="s">
        <v>161</v>
      </c>
      <c r="C22" s="2">
        <v>2022.2719999999999</v>
      </c>
      <c r="D22">
        <v>8</v>
      </c>
      <c r="E22" s="3">
        <v>0.2</v>
      </c>
      <c r="F22" s="4">
        <v>682.51679999999999</v>
      </c>
    </row>
    <row r="23" spans="1:6" x14ac:dyDescent="0.35">
      <c r="A23" t="s">
        <v>535</v>
      </c>
      <c r="B23" t="s">
        <v>405</v>
      </c>
      <c r="C23" s="2">
        <v>9.1199999999999992</v>
      </c>
      <c r="D23">
        <v>3</v>
      </c>
      <c r="E23" s="3">
        <v>0</v>
      </c>
      <c r="F23" s="4">
        <v>3.1008</v>
      </c>
    </row>
    <row r="24" spans="1:6" x14ac:dyDescent="0.35">
      <c r="A24" t="s">
        <v>484</v>
      </c>
      <c r="B24" t="s">
        <v>210</v>
      </c>
      <c r="C24" s="2">
        <v>33.74</v>
      </c>
      <c r="D24">
        <v>7</v>
      </c>
      <c r="E24" s="3">
        <v>0</v>
      </c>
      <c r="F24" s="4">
        <v>15.5204</v>
      </c>
    </row>
    <row r="25" spans="1:6" x14ac:dyDescent="0.35">
      <c r="A25" t="s">
        <v>284</v>
      </c>
      <c r="B25" t="s">
        <v>114</v>
      </c>
      <c r="C25" s="2">
        <v>3059.982</v>
      </c>
      <c r="D25">
        <v>2</v>
      </c>
      <c r="E25" s="3">
        <v>0.1</v>
      </c>
      <c r="F25" s="4">
        <v>679.99599999999998</v>
      </c>
    </row>
    <row r="26" spans="1:6" x14ac:dyDescent="0.35">
      <c r="A26" t="s">
        <v>394</v>
      </c>
      <c r="B26" t="s">
        <v>276</v>
      </c>
      <c r="C26" s="2">
        <v>2.8079999999999998</v>
      </c>
      <c r="D26">
        <v>3</v>
      </c>
      <c r="E26" s="3">
        <v>0.7</v>
      </c>
      <c r="F26" s="4">
        <v>-1.9656</v>
      </c>
    </row>
    <row r="27" spans="1:6" x14ac:dyDescent="0.35">
      <c r="A27" t="s">
        <v>519</v>
      </c>
      <c r="B27" t="s">
        <v>26</v>
      </c>
      <c r="C27" s="2">
        <v>153.78</v>
      </c>
      <c r="D27">
        <v>11</v>
      </c>
      <c r="E27" s="3">
        <v>0</v>
      </c>
      <c r="F27" s="4">
        <v>44.596200000000003</v>
      </c>
    </row>
    <row r="28" spans="1:6" x14ac:dyDescent="0.35">
      <c r="A28" t="s">
        <v>519</v>
      </c>
      <c r="B28" t="s">
        <v>451</v>
      </c>
      <c r="C28" s="2">
        <v>61.02</v>
      </c>
      <c r="D28">
        <v>3</v>
      </c>
      <c r="E28" s="3">
        <v>0</v>
      </c>
      <c r="F28" s="4">
        <v>0.61019999999999996</v>
      </c>
    </row>
    <row r="29" spans="1:6" x14ac:dyDescent="0.35">
      <c r="A29" t="s">
        <v>519</v>
      </c>
      <c r="B29" t="s">
        <v>513</v>
      </c>
      <c r="C29" s="2">
        <v>110.11</v>
      </c>
      <c r="D29">
        <v>7</v>
      </c>
      <c r="E29" s="3">
        <v>0</v>
      </c>
      <c r="F29" s="4">
        <v>31.931899999999999</v>
      </c>
    </row>
    <row r="30" spans="1:6" x14ac:dyDescent="0.35">
      <c r="A30" t="s">
        <v>519</v>
      </c>
      <c r="B30" t="s">
        <v>212</v>
      </c>
      <c r="C30" s="2">
        <v>7.89</v>
      </c>
      <c r="D30">
        <v>1</v>
      </c>
      <c r="E30" s="3">
        <v>0</v>
      </c>
      <c r="F30" s="4">
        <v>3.5505</v>
      </c>
    </row>
    <row r="31" spans="1:6" x14ac:dyDescent="0.35">
      <c r="A31" t="s">
        <v>408</v>
      </c>
      <c r="B31" t="s">
        <v>410</v>
      </c>
      <c r="C31" s="2">
        <v>892.98</v>
      </c>
      <c r="D31">
        <v>2</v>
      </c>
      <c r="E31" s="3">
        <v>0</v>
      </c>
      <c r="F31" s="4">
        <v>80.368200000000002</v>
      </c>
    </row>
    <row r="32" spans="1:6" x14ac:dyDescent="0.35">
      <c r="A32" t="s">
        <v>517</v>
      </c>
      <c r="B32" t="s">
        <v>223</v>
      </c>
      <c r="C32" s="2">
        <v>274.49099999999999</v>
      </c>
      <c r="D32">
        <v>3</v>
      </c>
      <c r="E32" s="3">
        <v>0.7</v>
      </c>
      <c r="F32" s="4">
        <v>-228.74250000000001</v>
      </c>
    </row>
    <row r="33" spans="1:6" x14ac:dyDescent="0.35">
      <c r="A33" t="s">
        <v>372</v>
      </c>
      <c r="B33" t="s">
        <v>103</v>
      </c>
      <c r="C33" s="2">
        <v>40.08</v>
      </c>
      <c r="D33">
        <v>6</v>
      </c>
      <c r="E33" s="3">
        <v>0</v>
      </c>
      <c r="F33" s="4">
        <v>19.238399999999999</v>
      </c>
    </row>
    <row r="34" spans="1:6" x14ac:dyDescent="0.35">
      <c r="A34" t="s">
        <v>372</v>
      </c>
      <c r="B34" t="s">
        <v>373</v>
      </c>
      <c r="C34" s="2">
        <v>37.68</v>
      </c>
      <c r="D34">
        <v>2</v>
      </c>
      <c r="E34" s="3">
        <v>0</v>
      </c>
      <c r="F34" s="4">
        <v>15.8256</v>
      </c>
    </row>
    <row r="35" spans="1:6" x14ac:dyDescent="0.35">
      <c r="A35" t="s">
        <v>503</v>
      </c>
      <c r="B35" t="s">
        <v>376</v>
      </c>
      <c r="C35" s="2">
        <v>9.7799999999999994</v>
      </c>
      <c r="D35">
        <v>1</v>
      </c>
      <c r="E35" s="3">
        <v>0</v>
      </c>
      <c r="F35" s="4">
        <v>4.8899999999999997</v>
      </c>
    </row>
    <row r="36" spans="1:6" x14ac:dyDescent="0.35">
      <c r="A36" t="s">
        <v>532</v>
      </c>
      <c r="B36" t="s">
        <v>262</v>
      </c>
      <c r="C36" s="2">
        <v>760.98</v>
      </c>
      <c r="D36">
        <v>5</v>
      </c>
      <c r="E36" s="3">
        <v>0.8</v>
      </c>
      <c r="F36" s="4">
        <v>-1141.47</v>
      </c>
    </row>
    <row r="37" spans="1:6" x14ac:dyDescent="0.35">
      <c r="A37" t="s">
        <v>510</v>
      </c>
      <c r="B37" t="s">
        <v>417</v>
      </c>
      <c r="C37" s="2">
        <v>32.4</v>
      </c>
      <c r="D37">
        <v>5</v>
      </c>
      <c r="E37" s="3">
        <v>0</v>
      </c>
      <c r="F37" s="4">
        <v>15.552</v>
      </c>
    </row>
    <row r="38" spans="1:6" x14ac:dyDescent="0.35">
      <c r="A38" t="s">
        <v>510</v>
      </c>
      <c r="B38" t="s">
        <v>499</v>
      </c>
      <c r="C38" s="2">
        <v>209.94</v>
      </c>
      <c r="D38">
        <v>6</v>
      </c>
      <c r="E38" s="3">
        <v>0</v>
      </c>
      <c r="F38" s="4">
        <v>54.584400000000002</v>
      </c>
    </row>
    <row r="39" spans="1:6" x14ac:dyDescent="0.35">
      <c r="A39" t="s">
        <v>510</v>
      </c>
      <c r="B39" t="s">
        <v>198</v>
      </c>
      <c r="C39" s="2">
        <v>4164.05</v>
      </c>
      <c r="D39">
        <v>5</v>
      </c>
      <c r="E39" s="3">
        <v>0</v>
      </c>
      <c r="F39" s="4">
        <v>83.281000000000006</v>
      </c>
    </row>
    <row r="40" spans="1:6" x14ac:dyDescent="0.35">
      <c r="A40" t="s">
        <v>510</v>
      </c>
      <c r="B40" t="s">
        <v>454</v>
      </c>
      <c r="C40" s="2">
        <v>212.94</v>
      </c>
      <c r="D40">
        <v>3</v>
      </c>
      <c r="E40" s="3">
        <v>0</v>
      </c>
      <c r="F40" s="4">
        <v>53.234999999999999</v>
      </c>
    </row>
    <row r="41" spans="1:6" x14ac:dyDescent="0.35">
      <c r="A41" t="s">
        <v>313</v>
      </c>
      <c r="B41" t="s">
        <v>96</v>
      </c>
      <c r="C41" s="2">
        <v>21.744</v>
      </c>
      <c r="D41">
        <v>1</v>
      </c>
      <c r="E41" s="3">
        <v>0.2</v>
      </c>
      <c r="F41" s="4">
        <v>7.3385999999999996</v>
      </c>
    </row>
    <row r="42" spans="1:6" x14ac:dyDescent="0.35">
      <c r="A42" t="s">
        <v>313</v>
      </c>
      <c r="B42" t="s">
        <v>314</v>
      </c>
      <c r="C42" s="2">
        <v>7.92</v>
      </c>
      <c r="D42">
        <v>5</v>
      </c>
      <c r="E42" s="3">
        <v>0.2</v>
      </c>
      <c r="F42" s="4">
        <v>0.69299999999999995</v>
      </c>
    </row>
    <row r="43" spans="1:6" x14ac:dyDescent="0.35">
      <c r="A43" t="s">
        <v>475</v>
      </c>
      <c r="B43" t="s">
        <v>57</v>
      </c>
      <c r="C43" s="2">
        <v>169.06399999999999</v>
      </c>
      <c r="D43">
        <v>7</v>
      </c>
      <c r="E43" s="3">
        <v>0.2</v>
      </c>
      <c r="F43" s="4">
        <v>-14.793100000000001</v>
      </c>
    </row>
    <row r="44" spans="1:6" x14ac:dyDescent="0.35">
      <c r="A44" t="s">
        <v>475</v>
      </c>
      <c r="B44" t="s">
        <v>392</v>
      </c>
      <c r="C44" s="2">
        <v>168.624</v>
      </c>
      <c r="D44">
        <v>9</v>
      </c>
      <c r="E44" s="3">
        <v>0.2</v>
      </c>
      <c r="F44" s="4">
        <v>14.7546</v>
      </c>
    </row>
    <row r="45" spans="1:6" x14ac:dyDescent="0.35">
      <c r="A45" t="s">
        <v>483</v>
      </c>
      <c r="B45" t="s">
        <v>226</v>
      </c>
      <c r="C45" s="2">
        <v>18.335999999999999</v>
      </c>
      <c r="D45">
        <v>3</v>
      </c>
      <c r="E45" s="3">
        <v>0.2</v>
      </c>
      <c r="F45" s="4">
        <v>6.6467999999999998</v>
      </c>
    </row>
    <row r="46" spans="1:6" x14ac:dyDescent="0.35">
      <c r="A46" t="s">
        <v>483</v>
      </c>
      <c r="B46" t="s">
        <v>272</v>
      </c>
      <c r="C46" s="2">
        <v>36.287999999999997</v>
      </c>
      <c r="D46">
        <v>7</v>
      </c>
      <c r="E46" s="3">
        <v>0.2</v>
      </c>
      <c r="F46" s="4">
        <v>12.700799999999999</v>
      </c>
    </row>
    <row r="47" spans="1:6" x14ac:dyDescent="0.35">
      <c r="A47" t="s">
        <v>483</v>
      </c>
      <c r="B47" t="s">
        <v>174</v>
      </c>
      <c r="C47" s="2">
        <v>111.98399999999999</v>
      </c>
      <c r="D47">
        <v>2</v>
      </c>
      <c r="E47" s="3">
        <v>0.2</v>
      </c>
      <c r="F47" s="4">
        <v>6.9989999999999997</v>
      </c>
    </row>
    <row r="48" spans="1:6" x14ac:dyDescent="0.35">
      <c r="A48" t="s">
        <v>483</v>
      </c>
      <c r="B48" t="s">
        <v>430</v>
      </c>
      <c r="C48" s="2">
        <v>5.97</v>
      </c>
      <c r="D48">
        <v>5</v>
      </c>
      <c r="E48" s="3">
        <v>0.7</v>
      </c>
      <c r="F48" s="4">
        <v>-4.577</v>
      </c>
    </row>
    <row r="49" spans="1:6" x14ac:dyDescent="0.35">
      <c r="A49" t="s">
        <v>483</v>
      </c>
      <c r="B49" t="s">
        <v>297</v>
      </c>
      <c r="C49" s="2">
        <v>2.508</v>
      </c>
      <c r="D49">
        <v>2</v>
      </c>
      <c r="E49" s="3">
        <v>0.7</v>
      </c>
      <c r="F49" s="4">
        <v>-1.8391999999999999</v>
      </c>
    </row>
    <row r="50" spans="1:6" x14ac:dyDescent="0.35">
      <c r="A50" t="s">
        <v>515</v>
      </c>
      <c r="B50" t="s">
        <v>480</v>
      </c>
      <c r="C50" s="2">
        <v>154.9</v>
      </c>
      <c r="D50">
        <v>5</v>
      </c>
      <c r="E50" s="3">
        <v>0</v>
      </c>
      <c r="F50" s="4">
        <v>69.704999999999998</v>
      </c>
    </row>
    <row r="51" spans="1:6" x14ac:dyDescent="0.35">
      <c r="A51" t="s">
        <v>540</v>
      </c>
      <c r="B51" t="s">
        <v>109</v>
      </c>
      <c r="C51" s="2">
        <v>67.400000000000006</v>
      </c>
      <c r="D51">
        <v>5</v>
      </c>
      <c r="E51" s="3">
        <v>0</v>
      </c>
      <c r="F51" s="4">
        <v>17.524000000000001</v>
      </c>
    </row>
    <row r="52" spans="1:6" x14ac:dyDescent="0.35">
      <c r="A52" t="s">
        <v>540</v>
      </c>
      <c r="B52" t="s">
        <v>134</v>
      </c>
      <c r="C52" s="2">
        <v>2.52</v>
      </c>
      <c r="D52">
        <v>2</v>
      </c>
      <c r="E52" s="3">
        <v>0</v>
      </c>
      <c r="F52" s="4">
        <v>0.1008</v>
      </c>
    </row>
    <row r="53" spans="1:6" x14ac:dyDescent="0.35">
      <c r="A53" t="s">
        <v>540</v>
      </c>
      <c r="B53" t="s">
        <v>353</v>
      </c>
      <c r="C53" s="2">
        <v>67.8</v>
      </c>
      <c r="D53">
        <v>4</v>
      </c>
      <c r="E53" s="3">
        <v>0</v>
      </c>
      <c r="F53" s="4">
        <v>1.3560000000000001</v>
      </c>
    </row>
    <row r="54" spans="1:6" x14ac:dyDescent="0.35">
      <c r="A54" t="s">
        <v>540</v>
      </c>
      <c r="B54" t="s">
        <v>386</v>
      </c>
      <c r="C54" s="2">
        <v>18.760000000000002</v>
      </c>
      <c r="D54">
        <v>2</v>
      </c>
      <c r="E54" s="3">
        <v>0</v>
      </c>
      <c r="F54" s="4">
        <v>5.2527999999999997</v>
      </c>
    </row>
    <row r="55" spans="1:6" x14ac:dyDescent="0.35">
      <c r="A55" t="s">
        <v>540</v>
      </c>
      <c r="B55" t="s">
        <v>172</v>
      </c>
      <c r="C55" s="2">
        <v>12.12</v>
      </c>
      <c r="D55">
        <v>4</v>
      </c>
      <c r="E55" s="3">
        <v>0</v>
      </c>
      <c r="F55" s="4">
        <v>2.5451999999999999</v>
      </c>
    </row>
    <row r="56" spans="1:6" x14ac:dyDescent="0.35">
      <c r="A56" t="s">
        <v>540</v>
      </c>
      <c r="B56" t="s">
        <v>286</v>
      </c>
      <c r="C56" s="2">
        <v>11.34</v>
      </c>
      <c r="D56">
        <v>1</v>
      </c>
      <c r="E56" s="3">
        <v>0</v>
      </c>
      <c r="F56" s="4">
        <v>5.5566000000000004</v>
      </c>
    </row>
    <row r="57" spans="1:6" x14ac:dyDescent="0.35">
      <c r="A57" t="s">
        <v>540</v>
      </c>
      <c r="B57" t="s">
        <v>130</v>
      </c>
      <c r="C57" s="2">
        <v>159.80000000000001</v>
      </c>
      <c r="D57">
        <v>4</v>
      </c>
      <c r="E57" s="3">
        <v>0</v>
      </c>
      <c r="F57" s="4">
        <v>70.311999999999998</v>
      </c>
    </row>
    <row r="58" spans="1:6" x14ac:dyDescent="0.35">
      <c r="A58" t="s">
        <v>540</v>
      </c>
      <c r="B58" t="s">
        <v>383</v>
      </c>
      <c r="C58" s="2">
        <v>18.96</v>
      </c>
      <c r="D58">
        <v>2</v>
      </c>
      <c r="E58" s="3">
        <v>0</v>
      </c>
      <c r="F58" s="4">
        <v>8.532</v>
      </c>
    </row>
    <row r="59" spans="1:6" x14ac:dyDescent="0.35">
      <c r="A59" t="s">
        <v>434</v>
      </c>
      <c r="B59" t="s">
        <v>435</v>
      </c>
      <c r="C59" s="2">
        <v>34.384</v>
      </c>
      <c r="D59">
        <v>1</v>
      </c>
      <c r="E59" s="3">
        <v>0.2</v>
      </c>
      <c r="F59" s="4">
        <v>3.8681999999999999</v>
      </c>
    </row>
    <row r="60" spans="1:6" x14ac:dyDescent="0.35">
      <c r="A60" t="s">
        <v>434</v>
      </c>
      <c r="B60" t="s">
        <v>127</v>
      </c>
      <c r="C60" s="2">
        <v>1924.16</v>
      </c>
      <c r="D60">
        <v>8</v>
      </c>
      <c r="E60" s="3">
        <v>0.2</v>
      </c>
      <c r="F60" s="4">
        <v>312.67599999999999</v>
      </c>
    </row>
    <row r="61" spans="1:6" x14ac:dyDescent="0.35">
      <c r="A61" t="s">
        <v>465</v>
      </c>
      <c r="B61" t="s">
        <v>78</v>
      </c>
      <c r="C61" s="2">
        <v>12.7</v>
      </c>
      <c r="D61">
        <v>2</v>
      </c>
      <c r="E61" s="3">
        <v>0</v>
      </c>
      <c r="F61" s="4">
        <v>5.8419999999999996</v>
      </c>
    </row>
    <row r="62" spans="1:6" x14ac:dyDescent="0.35">
      <c r="A62" t="s">
        <v>491</v>
      </c>
      <c r="B62" t="s">
        <v>350</v>
      </c>
      <c r="C62" s="2">
        <v>21.4</v>
      </c>
      <c r="D62">
        <v>5</v>
      </c>
      <c r="E62" s="3">
        <v>0</v>
      </c>
      <c r="F62" s="4">
        <v>6.2060000000000004</v>
      </c>
    </row>
    <row r="63" spans="1:6" x14ac:dyDescent="0.35">
      <c r="A63" t="s">
        <v>506</v>
      </c>
      <c r="B63" t="s">
        <v>295</v>
      </c>
      <c r="C63" s="2">
        <v>32.783999999999999</v>
      </c>
      <c r="D63">
        <v>4</v>
      </c>
      <c r="E63" s="3">
        <v>0.8</v>
      </c>
      <c r="F63" s="4">
        <v>-52.4544</v>
      </c>
    </row>
    <row r="64" spans="1:6" x14ac:dyDescent="0.35">
      <c r="A64" t="s">
        <v>506</v>
      </c>
      <c r="B64" t="s">
        <v>136</v>
      </c>
      <c r="C64" s="2">
        <v>47.984000000000002</v>
      </c>
      <c r="D64">
        <v>2</v>
      </c>
      <c r="E64" s="3">
        <v>0.2</v>
      </c>
      <c r="F64" s="4">
        <v>14.395200000000001</v>
      </c>
    </row>
    <row r="65" spans="1:6" x14ac:dyDescent="0.35">
      <c r="A65" t="s">
        <v>506</v>
      </c>
      <c r="B65" t="s">
        <v>463</v>
      </c>
      <c r="C65" s="2">
        <v>62.591999999999999</v>
      </c>
      <c r="D65">
        <v>8</v>
      </c>
      <c r="E65" s="3">
        <v>0.2</v>
      </c>
      <c r="F65" s="4">
        <v>13.300800000000001</v>
      </c>
    </row>
    <row r="66" spans="1:6" x14ac:dyDescent="0.35">
      <c r="A66" t="s">
        <v>506</v>
      </c>
      <c r="B66" t="s">
        <v>168</v>
      </c>
      <c r="C66" s="2">
        <v>4.2759999999999998</v>
      </c>
      <c r="D66">
        <v>1</v>
      </c>
      <c r="E66" s="3">
        <v>0.8</v>
      </c>
      <c r="F66" s="4">
        <v>-6.6277999999999997</v>
      </c>
    </row>
    <row r="67" spans="1:6" x14ac:dyDescent="0.35">
      <c r="A67" t="s">
        <v>493</v>
      </c>
      <c r="B67" t="s">
        <v>30</v>
      </c>
      <c r="C67" s="2">
        <v>27.92</v>
      </c>
      <c r="D67">
        <v>4</v>
      </c>
      <c r="E67" s="3">
        <v>0</v>
      </c>
      <c r="F67" s="4">
        <v>8.0968</v>
      </c>
    </row>
    <row r="68" spans="1:6" x14ac:dyDescent="0.35">
      <c r="A68" t="s">
        <v>493</v>
      </c>
      <c r="B68" t="s">
        <v>274</v>
      </c>
      <c r="C68" s="2">
        <v>399.67200000000003</v>
      </c>
      <c r="D68">
        <v>7</v>
      </c>
      <c r="E68" s="3">
        <v>0.2</v>
      </c>
      <c r="F68" s="4">
        <v>-14.9877</v>
      </c>
    </row>
    <row r="69" spans="1:6" x14ac:dyDescent="0.35">
      <c r="A69" t="s">
        <v>507</v>
      </c>
      <c r="B69" t="s">
        <v>148</v>
      </c>
      <c r="C69" s="2">
        <v>5443.96</v>
      </c>
      <c r="D69">
        <v>4</v>
      </c>
      <c r="E69" s="3">
        <v>0</v>
      </c>
      <c r="F69" s="4">
        <v>2504.2215999999999</v>
      </c>
    </row>
    <row r="70" spans="1:6" x14ac:dyDescent="0.35">
      <c r="A70" t="s">
        <v>507</v>
      </c>
      <c r="B70" t="s">
        <v>488</v>
      </c>
      <c r="C70" s="2">
        <v>302.67</v>
      </c>
      <c r="D70">
        <v>3</v>
      </c>
      <c r="E70" s="3">
        <v>0</v>
      </c>
      <c r="F70" s="4">
        <v>72.640799999999999</v>
      </c>
    </row>
    <row r="71" spans="1:6" x14ac:dyDescent="0.35">
      <c r="A71" t="s">
        <v>507</v>
      </c>
      <c r="B71" t="s">
        <v>508</v>
      </c>
      <c r="C71" s="2">
        <v>56.07</v>
      </c>
      <c r="D71">
        <v>7</v>
      </c>
      <c r="E71" s="3">
        <v>0</v>
      </c>
      <c r="F71" s="4">
        <v>25.2315</v>
      </c>
    </row>
    <row r="72" spans="1:6" x14ac:dyDescent="0.35">
      <c r="A72" t="s">
        <v>377</v>
      </c>
      <c r="B72" t="s">
        <v>379</v>
      </c>
      <c r="C72" s="2">
        <v>6</v>
      </c>
      <c r="D72">
        <v>2</v>
      </c>
      <c r="E72" s="3">
        <v>0.2</v>
      </c>
      <c r="F72" s="4">
        <v>2.1</v>
      </c>
    </row>
    <row r="73" spans="1:6" x14ac:dyDescent="0.35">
      <c r="A73" t="s">
        <v>533</v>
      </c>
      <c r="B73" t="s">
        <v>368</v>
      </c>
      <c r="C73" s="2">
        <v>429.6</v>
      </c>
      <c r="D73">
        <v>2</v>
      </c>
      <c r="E73" s="3">
        <v>0.4</v>
      </c>
      <c r="F73" s="4">
        <v>-93.08</v>
      </c>
    </row>
    <row r="74" spans="1:6" x14ac:dyDescent="0.35">
      <c r="A74" t="s">
        <v>533</v>
      </c>
      <c r="B74" t="s">
        <v>220</v>
      </c>
      <c r="C74" s="2">
        <v>31.968</v>
      </c>
      <c r="D74">
        <v>2</v>
      </c>
      <c r="E74" s="3">
        <v>0.2</v>
      </c>
      <c r="F74" s="4">
        <v>6.3936000000000002</v>
      </c>
    </row>
    <row r="75" spans="1:6" x14ac:dyDescent="0.35">
      <c r="A75" t="s">
        <v>533</v>
      </c>
      <c r="B75" t="s">
        <v>292</v>
      </c>
      <c r="C75" s="2">
        <v>887.27099999999996</v>
      </c>
      <c r="D75">
        <v>3</v>
      </c>
      <c r="E75" s="3">
        <v>0.3</v>
      </c>
      <c r="F75" s="4">
        <v>-63.3765</v>
      </c>
    </row>
    <row r="76" spans="1:6" x14ac:dyDescent="0.35">
      <c r="A76" t="s">
        <v>533</v>
      </c>
      <c r="B76" t="s">
        <v>340</v>
      </c>
      <c r="C76" s="2">
        <v>21.696000000000002</v>
      </c>
      <c r="D76">
        <v>4</v>
      </c>
      <c r="E76" s="3">
        <v>0.2</v>
      </c>
      <c r="F76" s="4">
        <v>7.0511999999999997</v>
      </c>
    </row>
    <row r="77" spans="1:6" x14ac:dyDescent="0.35">
      <c r="A77" t="s">
        <v>534</v>
      </c>
      <c r="B77" t="s">
        <v>157</v>
      </c>
      <c r="C77" s="2">
        <v>79.92</v>
      </c>
      <c r="D77">
        <v>4</v>
      </c>
      <c r="E77" s="3">
        <v>0</v>
      </c>
      <c r="F77" s="4">
        <v>37.562399999999997</v>
      </c>
    </row>
    <row r="78" spans="1:6" x14ac:dyDescent="0.35">
      <c r="A78" t="s">
        <v>534</v>
      </c>
      <c r="B78" t="s">
        <v>146</v>
      </c>
      <c r="C78" s="2">
        <v>12.28</v>
      </c>
      <c r="D78">
        <v>1</v>
      </c>
      <c r="E78" s="3">
        <v>0</v>
      </c>
      <c r="F78" s="4">
        <v>5.7716000000000003</v>
      </c>
    </row>
    <row r="79" spans="1:6" x14ac:dyDescent="0.35">
      <c r="A79" t="s">
        <v>534</v>
      </c>
      <c r="B79" t="s">
        <v>365</v>
      </c>
      <c r="C79" s="2">
        <v>542.94000000000005</v>
      </c>
      <c r="D79">
        <v>3</v>
      </c>
      <c r="E79" s="3">
        <v>0</v>
      </c>
      <c r="F79" s="4">
        <v>152.0232</v>
      </c>
    </row>
    <row r="80" spans="1:6" x14ac:dyDescent="0.35">
      <c r="A80" t="s">
        <v>534</v>
      </c>
      <c r="B80" t="s">
        <v>62</v>
      </c>
      <c r="C80" s="2">
        <v>2.04</v>
      </c>
      <c r="D80">
        <v>1</v>
      </c>
      <c r="E80" s="3">
        <v>0</v>
      </c>
      <c r="F80" s="4">
        <v>0.95879999999999999</v>
      </c>
    </row>
    <row r="81" spans="1:6" x14ac:dyDescent="0.35">
      <c r="A81" t="s">
        <v>164</v>
      </c>
      <c r="B81" t="s">
        <v>165</v>
      </c>
      <c r="C81" s="2">
        <v>207.846</v>
      </c>
      <c r="D81">
        <v>3</v>
      </c>
      <c r="E81" s="3">
        <v>0.1</v>
      </c>
      <c r="F81" s="4">
        <v>2.3094000000000001</v>
      </c>
    </row>
    <row r="82" spans="1:6" x14ac:dyDescent="0.35">
      <c r="A82" t="s">
        <v>360</v>
      </c>
      <c r="B82" t="s">
        <v>362</v>
      </c>
      <c r="C82" s="2">
        <v>160.77600000000001</v>
      </c>
      <c r="D82">
        <v>3</v>
      </c>
      <c r="E82" s="3">
        <v>0.2</v>
      </c>
      <c r="F82" s="4">
        <v>10.048500000000001</v>
      </c>
    </row>
    <row r="83" spans="1:6" x14ac:dyDescent="0.35">
      <c r="A83" t="s">
        <v>413</v>
      </c>
      <c r="B83" t="s">
        <v>375</v>
      </c>
      <c r="C83" s="2">
        <v>24.2</v>
      </c>
      <c r="D83">
        <v>5</v>
      </c>
      <c r="E83" s="3">
        <v>0</v>
      </c>
      <c r="F83" s="4">
        <v>7.9859999999999998</v>
      </c>
    </row>
    <row r="84" spans="1:6" x14ac:dyDescent="0.35">
      <c r="A84" t="s">
        <v>413</v>
      </c>
      <c r="B84" t="s">
        <v>415</v>
      </c>
      <c r="C84" s="2">
        <v>359.976</v>
      </c>
      <c r="D84">
        <v>3</v>
      </c>
      <c r="E84" s="3">
        <v>0.2</v>
      </c>
      <c r="F84" s="4">
        <v>130.4913</v>
      </c>
    </row>
    <row r="85" spans="1:6" x14ac:dyDescent="0.35">
      <c r="A85" t="s">
        <v>494</v>
      </c>
      <c r="B85" t="s">
        <v>305</v>
      </c>
      <c r="C85" s="2">
        <v>3.52</v>
      </c>
      <c r="D85">
        <v>2</v>
      </c>
      <c r="E85" s="3">
        <v>0</v>
      </c>
      <c r="F85" s="4">
        <v>1.0207999999999999</v>
      </c>
    </row>
    <row r="86" spans="1:6" x14ac:dyDescent="0.35">
      <c r="A86" t="s">
        <v>520</v>
      </c>
      <c r="B86" t="s">
        <v>278</v>
      </c>
      <c r="C86" s="2">
        <v>11.52</v>
      </c>
      <c r="D86">
        <v>5</v>
      </c>
      <c r="E86" s="3">
        <v>0.2</v>
      </c>
      <c r="F86" s="4">
        <v>4.1760000000000002</v>
      </c>
    </row>
    <row r="87" spans="1:6" x14ac:dyDescent="0.35">
      <c r="A87" t="s">
        <v>228</v>
      </c>
      <c r="B87" t="s">
        <v>194</v>
      </c>
      <c r="C87" s="2">
        <v>242.94</v>
      </c>
      <c r="D87">
        <v>3</v>
      </c>
      <c r="E87" s="3">
        <v>0</v>
      </c>
      <c r="F87" s="4">
        <v>9.7175999999999991</v>
      </c>
    </row>
    <row r="88" spans="1:6" x14ac:dyDescent="0.35">
      <c r="A88" t="s">
        <v>228</v>
      </c>
      <c r="B88" t="s">
        <v>230</v>
      </c>
      <c r="C88" s="2">
        <v>179.97</v>
      </c>
      <c r="D88">
        <v>3</v>
      </c>
      <c r="E88" s="3">
        <v>0</v>
      </c>
      <c r="F88" s="4">
        <v>86.385599999999997</v>
      </c>
    </row>
    <row r="89" spans="1:6" x14ac:dyDescent="0.35">
      <c r="A89" t="s">
        <v>228</v>
      </c>
      <c r="B89" t="s">
        <v>154</v>
      </c>
      <c r="C89" s="2">
        <v>99.695999999999998</v>
      </c>
      <c r="D89">
        <v>6</v>
      </c>
      <c r="E89" s="3">
        <v>0.2</v>
      </c>
      <c r="F89" s="4">
        <v>33.647399999999998</v>
      </c>
    </row>
    <row r="90" spans="1:6" x14ac:dyDescent="0.35">
      <c r="A90" t="s">
        <v>228</v>
      </c>
      <c r="B90" t="s">
        <v>67</v>
      </c>
      <c r="C90" s="2">
        <v>27.936</v>
      </c>
      <c r="D90">
        <v>4</v>
      </c>
      <c r="E90" s="3">
        <v>0.2</v>
      </c>
      <c r="F90" s="4">
        <v>9.4283999999999999</v>
      </c>
    </row>
    <row r="91" spans="1:6" x14ac:dyDescent="0.35">
      <c r="A91" t="s">
        <v>228</v>
      </c>
      <c r="B91" t="s">
        <v>232</v>
      </c>
      <c r="C91" s="2">
        <v>84.98</v>
      </c>
      <c r="D91">
        <v>1</v>
      </c>
      <c r="E91" s="3">
        <v>0</v>
      </c>
      <c r="F91" s="4">
        <v>18.695599999999999</v>
      </c>
    </row>
    <row r="92" spans="1:6" x14ac:dyDescent="0.35">
      <c r="A92" t="s">
        <v>228</v>
      </c>
      <c r="B92" t="s">
        <v>234</v>
      </c>
      <c r="C92" s="2">
        <v>18.72</v>
      </c>
      <c r="D92">
        <v>5</v>
      </c>
      <c r="E92" s="3">
        <v>0.2</v>
      </c>
      <c r="F92" s="4">
        <v>6.5519999999999996</v>
      </c>
    </row>
    <row r="93" spans="1:6" x14ac:dyDescent="0.35">
      <c r="A93" t="s">
        <v>299</v>
      </c>
      <c r="B93" t="s">
        <v>301</v>
      </c>
      <c r="C93" s="2">
        <v>348.20800000000003</v>
      </c>
      <c r="D93">
        <v>7</v>
      </c>
      <c r="E93" s="3">
        <v>0.2</v>
      </c>
      <c r="F93" s="4">
        <v>30.4682</v>
      </c>
    </row>
    <row r="94" spans="1:6" x14ac:dyDescent="0.35">
      <c r="A94" t="s">
        <v>299</v>
      </c>
      <c r="B94" t="s">
        <v>303</v>
      </c>
      <c r="C94" s="2">
        <v>35.783999999999999</v>
      </c>
      <c r="D94">
        <v>7</v>
      </c>
      <c r="E94" s="3">
        <v>0.7</v>
      </c>
      <c r="F94" s="4">
        <v>-28.627199999999998</v>
      </c>
    </row>
    <row r="95" spans="1:6" x14ac:dyDescent="0.35">
      <c r="A95" t="s">
        <v>423</v>
      </c>
      <c r="B95" t="s">
        <v>236</v>
      </c>
      <c r="C95" s="2">
        <v>14.4</v>
      </c>
      <c r="D95">
        <v>5</v>
      </c>
      <c r="E95" s="3">
        <v>0</v>
      </c>
      <c r="F95" s="4">
        <v>7.056</v>
      </c>
    </row>
    <row r="96" spans="1:6" x14ac:dyDescent="0.35">
      <c r="A96" t="s">
        <v>423</v>
      </c>
      <c r="B96" t="s">
        <v>264</v>
      </c>
      <c r="C96" s="2">
        <v>619.95000000000005</v>
      </c>
      <c r="D96">
        <v>5</v>
      </c>
      <c r="E96" s="3">
        <v>0</v>
      </c>
      <c r="F96" s="4">
        <v>111.59099999999999</v>
      </c>
    </row>
    <row r="97" spans="1:6" x14ac:dyDescent="0.35">
      <c r="A97" t="s">
        <v>423</v>
      </c>
      <c r="B97" t="s">
        <v>424</v>
      </c>
      <c r="C97" s="2">
        <v>89.52</v>
      </c>
      <c r="D97">
        <v>4</v>
      </c>
      <c r="E97" s="3">
        <v>0</v>
      </c>
      <c r="F97" s="4">
        <v>42.074399999999997</v>
      </c>
    </row>
    <row r="98" spans="1:6" x14ac:dyDescent="0.35">
      <c r="A98" t="s">
        <v>423</v>
      </c>
      <c r="B98" t="s">
        <v>426</v>
      </c>
      <c r="C98" s="2">
        <v>350.97300000000001</v>
      </c>
      <c r="D98">
        <v>3</v>
      </c>
      <c r="E98" s="3">
        <v>0.1</v>
      </c>
      <c r="F98" s="4">
        <v>152.0883</v>
      </c>
    </row>
    <row r="99" spans="1:6" x14ac:dyDescent="0.35">
      <c r="A99" t="s">
        <v>423</v>
      </c>
      <c r="B99" t="s">
        <v>428</v>
      </c>
      <c r="C99" s="2">
        <v>164.99</v>
      </c>
      <c r="D99">
        <v>1</v>
      </c>
      <c r="E99" s="3">
        <v>0</v>
      </c>
      <c r="F99" s="4">
        <v>49.497</v>
      </c>
    </row>
    <row r="100" spans="1:6" x14ac:dyDescent="0.35">
      <c r="A100" t="s">
        <v>539</v>
      </c>
      <c r="B100" t="s">
        <v>213</v>
      </c>
      <c r="C100" s="2">
        <v>268.57600000000002</v>
      </c>
      <c r="D100">
        <v>4</v>
      </c>
      <c r="E100" s="3">
        <v>0.2</v>
      </c>
      <c r="F100" s="4">
        <v>90.644400000000005</v>
      </c>
    </row>
    <row r="101" spans="1:6" x14ac:dyDescent="0.35">
      <c r="A101" t="s">
        <v>183</v>
      </c>
      <c r="B101" t="s">
        <v>186</v>
      </c>
      <c r="C101" s="2">
        <v>2999.95</v>
      </c>
      <c r="D101">
        <v>5</v>
      </c>
      <c r="E101" s="3">
        <v>0</v>
      </c>
      <c r="F101" s="4">
        <v>1379.9770000000001</v>
      </c>
    </row>
    <row r="102" spans="1:6" x14ac:dyDescent="0.35">
      <c r="A102" t="s">
        <v>183</v>
      </c>
      <c r="B102" t="s">
        <v>188</v>
      </c>
      <c r="C102" s="2">
        <v>51.45</v>
      </c>
      <c r="D102">
        <v>3</v>
      </c>
      <c r="E102" s="3">
        <v>0</v>
      </c>
      <c r="F102" s="4">
        <v>13.891500000000001</v>
      </c>
    </row>
    <row r="103" spans="1:6" x14ac:dyDescent="0.35">
      <c r="A103" t="s">
        <v>183</v>
      </c>
      <c r="B103" t="s">
        <v>190</v>
      </c>
      <c r="C103" s="2">
        <v>11.96</v>
      </c>
      <c r="D103">
        <v>2</v>
      </c>
      <c r="E103" s="3">
        <v>0</v>
      </c>
      <c r="F103" s="4">
        <v>5.3819999999999997</v>
      </c>
    </row>
    <row r="104" spans="1:6" x14ac:dyDescent="0.35">
      <c r="A104" t="s">
        <v>183</v>
      </c>
      <c r="B104" t="s">
        <v>192</v>
      </c>
      <c r="C104" s="2">
        <v>1126.02</v>
      </c>
      <c r="D104">
        <v>3</v>
      </c>
      <c r="E104" s="3">
        <v>0</v>
      </c>
      <c r="F104" s="4">
        <v>56.301000000000002</v>
      </c>
    </row>
    <row r="105" spans="1:6" x14ac:dyDescent="0.35">
      <c r="A105" t="s">
        <v>525</v>
      </c>
      <c r="B105" t="s">
        <v>388</v>
      </c>
      <c r="C105" s="2">
        <v>15.12</v>
      </c>
      <c r="D105">
        <v>5</v>
      </c>
      <c r="E105" s="3">
        <v>0.2</v>
      </c>
      <c r="F105" s="4">
        <v>4.9139999999999997</v>
      </c>
    </row>
    <row r="106" spans="1:6" x14ac:dyDescent="0.35">
      <c r="A106" t="s">
        <v>525</v>
      </c>
      <c r="B106" t="s">
        <v>466</v>
      </c>
      <c r="C106" s="2">
        <v>7.8719999999999999</v>
      </c>
      <c r="D106">
        <v>3</v>
      </c>
      <c r="E106" s="3">
        <v>0.2</v>
      </c>
      <c r="F106" s="4">
        <v>0.88560000000000005</v>
      </c>
    </row>
    <row r="107" spans="1:6" x14ac:dyDescent="0.35">
      <c r="A107" t="s">
        <v>196</v>
      </c>
      <c r="B107" t="s">
        <v>177</v>
      </c>
      <c r="C107" s="2">
        <v>210.98</v>
      </c>
      <c r="D107">
        <v>2</v>
      </c>
      <c r="E107" s="3">
        <v>0</v>
      </c>
      <c r="F107" s="4">
        <v>21.097999999999999</v>
      </c>
    </row>
    <row r="108" spans="1:6" x14ac:dyDescent="0.35">
      <c r="A108" t="s">
        <v>505</v>
      </c>
      <c r="B108" t="s">
        <v>381</v>
      </c>
      <c r="C108" s="2">
        <v>19.68</v>
      </c>
      <c r="D108">
        <v>5</v>
      </c>
      <c r="E108" s="3">
        <v>0.2</v>
      </c>
      <c r="F108" s="4">
        <v>6.8879999999999999</v>
      </c>
    </row>
    <row r="109" spans="1:6" x14ac:dyDescent="0.35">
      <c r="A109" t="s">
        <v>505</v>
      </c>
      <c r="B109" t="s">
        <v>280</v>
      </c>
      <c r="C109" s="2">
        <v>25.92</v>
      </c>
      <c r="D109">
        <v>4</v>
      </c>
      <c r="E109" s="3">
        <v>0</v>
      </c>
      <c r="F109" s="4">
        <v>12.441599999999999</v>
      </c>
    </row>
    <row r="110" spans="1:6" x14ac:dyDescent="0.35">
      <c r="A110" t="s">
        <v>505</v>
      </c>
      <c r="B110" t="s">
        <v>345</v>
      </c>
      <c r="C110" s="2">
        <v>6.48</v>
      </c>
      <c r="D110">
        <v>1</v>
      </c>
      <c r="E110" s="3">
        <v>0</v>
      </c>
      <c r="F110" s="4">
        <v>3.1103999999999998</v>
      </c>
    </row>
    <row r="111" spans="1:6" x14ac:dyDescent="0.35">
      <c r="A111" t="s">
        <v>505</v>
      </c>
      <c r="B111" t="s">
        <v>501</v>
      </c>
      <c r="C111" s="2">
        <v>86.352000000000004</v>
      </c>
      <c r="D111">
        <v>6</v>
      </c>
      <c r="E111" s="3">
        <v>0.2</v>
      </c>
      <c r="F111" s="4">
        <v>8.6351999999999993</v>
      </c>
    </row>
    <row r="112" spans="1:6" x14ac:dyDescent="0.35">
      <c r="A112" t="s">
        <v>537</v>
      </c>
      <c r="B112" t="s">
        <v>456</v>
      </c>
      <c r="C112" s="2">
        <v>95.983999999999995</v>
      </c>
      <c r="D112">
        <v>2</v>
      </c>
      <c r="E112" s="3">
        <v>0.2</v>
      </c>
      <c r="F112" s="4">
        <v>11.997999999999999</v>
      </c>
    </row>
    <row r="113" spans="1:6" x14ac:dyDescent="0.35">
      <c r="A113" t="s">
        <v>537</v>
      </c>
      <c r="B113" t="s">
        <v>400</v>
      </c>
      <c r="C113" s="2">
        <v>4.9379999999999997</v>
      </c>
      <c r="D113">
        <v>2</v>
      </c>
      <c r="E113" s="3">
        <v>0.7</v>
      </c>
      <c r="F113" s="4">
        <v>-3.6212</v>
      </c>
    </row>
    <row r="114" spans="1:6" x14ac:dyDescent="0.35">
      <c r="A114" t="s">
        <v>412</v>
      </c>
      <c r="B114" t="s">
        <v>332</v>
      </c>
      <c r="C114" s="2">
        <v>5.67</v>
      </c>
      <c r="D114">
        <v>3</v>
      </c>
      <c r="E114" s="3">
        <v>0</v>
      </c>
      <c r="F114" s="4">
        <v>0.1134</v>
      </c>
    </row>
    <row r="115" spans="1:6" x14ac:dyDescent="0.35">
      <c r="A115" t="s">
        <v>536</v>
      </c>
      <c r="B115" t="s">
        <v>51</v>
      </c>
      <c r="C115" s="2">
        <v>25.86</v>
      </c>
      <c r="D115">
        <v>3</v>
      </c>
      <c r="E115" s="3">
        <v>0</v>
      </c>
      <c r="F115" s="4">
        <v>6.7236000000000002</v>
      </c>
    </row>
    <row r="116" spans="1:6" x14ac:dyDescent="0.35">
      <c r="A116" t="s">
        <v>536</v>
      </c>
      <c r="B116" t="s">
        <v>460</v>
      </c>
      <c r="C116" s="2">
        <v>276.78399999999999</v>
      </c>
      <c r="D116">
        <v>2</v>
      </c>
      <c r="E116" s="3">
        <v>0.2</v>
      </c>
      <c r="F116" s="4">
        <v>89.954800000000006</v>
      </c>
    </row>
    <row r="117" spans="1:6" x14ac:dyDescent="0.35">
      <c r="A117" t="s">
        <v>536</v>
      </c>
      <c r="B117" t="s">
        <v>477</v>
      </c>
      <c r="C117" s="2">
        <v>110.352</v>
      </c>
      <c r="D117">
        <v>3</v>
      </c>
      <c r="E117" s="3">
        <v>0.2</v>
      </c>
      <c r="F117" s="4">
        <v>8.2764000000000006</v>
      </c>
    </row>
    <row r="118" spans="1:6" x14ac:dyDescent="0.35">
      <c r="A118" t="s">
        <v>437</v>
      </c>
      <c r="B118" t="s">
        <v>111</v>
      </c>
      <c r="C118" s="2">
        <v>15.47</v>
      </c>
      <c r="D118">
        <v>7</v>
      </c>
      <c r="E118" s="3">
        <v>0</v>
      </c>
      <c r="F118" s="4">
        <v>4.1768999999999998</v>
      </c>
    </row>
    <row r="119" spans="1:6" x14ac:dyDescent="0.35">
      <c r="A119" t="s">
        <v>437</v>
      </c>
      <c r="B119" t="s">
        <v>120</v>
      </c>
      <c r="C119" s="2">
        <v>7.16</v>
      </c>
      <c r="D119">
        <v>2</v>
      </c>
      <c r="E119" s="3">
        <v>0</v>
      </c>
      <c r="F119" s="4">
        <v>3.4367999999999999</v>
      </c>
    </row>
    <row r="120" spans="1:6" x14ac:dyDescent="0.35">
      <c r="A120" t="s">
        <v>498</v>
      </c>
      <c r="B120" t="s">
        <v>81</v>
      </c>
      <c r="C120" s="2">
        <v>18.16</v>
      </c>
      <c r="D120">
        <v>2</v>
      </c>
      <c r="E120" s="3">
        <v>0.2</v>
      </c>
      <c r="F120" s="4">
        <v>1.8160000000000001</v>
      </c>
    </row>
    <row r="121" spans="1:6" x14ac:dyDescent="0.35">
      <c r="A121" t="s">
        <v>524</v>
      </c>
      <c r="B121" t="s">
        <v>358</v>
      </c>
      <c r="C121" s="2">
        <v>11.84</v>
      </c>
      <c r="D121">
        <v>8</v>
      </c>
      <c r="E121" s="3">
        <v>0</v>
      </c>
      <c r="F121" s="4">
        <v>5.6832000000000003</v>
      </c>
    </row>
    <row r="122" spans="1:6" x14ac:dyDescent="0.35">
      <c r="A122" t="s">
        <v>528</v>
      </c>
      <c r="B122" t="s">
        <v>99</v>
      </c>
      <c r="C122" s="2">
        <v>62.72</v>
      </c>
      <c r="D122">
        <v>4</v>
      </c>
      <c r="E122" s="3">
        <v>0</v>
      </c>
      <c r="F122" s="4">
        <v>24.460799999999999</v>
      </c>
    </row>
    <row r="123" spans="1:6" x14ac:dyDescent="0.35">
      <c r="A123" t="s">
        <v>528</v>
      </c>
      <c r="B123" t="s">
        <v>444</v>
      </c>
      <c r="C123" s="2">
        <v>2939.93</v>
      </c>
      <c r="D123">
        <v>7</v>
      </c>
      <c r="E123" s="3">
        <v>0</v>
      </c>
      <c r="F123" s="4">
        <v>764.3818</v>
      </c>
    </row>
    <row r="124" spans="1:6" x14ac:dyDescent="0.35">
      <c r="A124" t="s">
        <v>398</v>
      </c>
      <c r="B124" t="s">
        <v>202</v>
      </c>
      <c r="C124" s="2">
        <v>14.016</v>
      </c>
      <c r="D124">
        <v>3</v>
      </c>
      <c r="E124" s="3">
        <v>0.2</v>
      </c>
      <c r="F124" s="4">
        <v>1.752</v>
      </c>
    </row>
    <row r="125" spans="1:6" x14ac:dyDescent="0.35">
      <c r="A125" t="s">
        <v>398</v>
      </c>
      <c r="B125" t="s">
        <v>266</v>
      </c>
      <c r="C125" s="2">
        <v>71.975999999999999</v>
      </c>
      <c r="D125">
        <v>3</v>
      </c>
      <c r="E125" s="3">
        <v>0.2</v>
      </c>
      <c r="F125" s="4">
        <v>-8.9969999999999999</v>
      </c>
    </row>
    <row r="126" spans="1:6" x14ac:dyDescent="0.35">
      <c r="A126" t="s">
        <v>398</v>
      </c>
      <c r="B126" t="s">
        <v>117</v>
      </c>
      <c r="C126" s="2">
        <v>107.982</v>
      </c>
      <c r="D126">
        <v>3</v>
      </c>
      <c r="E126" s="3">
        <v>0.4</v>
      </c>
      <c r="F126" s="4">
        <v>-26.9955</v>
      </c>
    </row>
    <row r="127" spans="1:6" x14ac:dyDescent="0.35">
      <c r="A127" t="s">
        <v>518</v>
      </c>
      <c r="B127" t="s">
        <v>477</v>
      </c>
      <c r="C127" s="2">
        <v>137.94</v>
      </c>
      <c r="D127">
        <v>3</v>
      </c>
      <c r="E127" s="3">
        <v>0</v>
      </c>
      <c r="F127" s="4">
        <v>35.864400000000003</v>
      </c>
    </row>
    <row r="128" spans="1:6" x14ac:dyDescent="0.35">
      <c r="A128" t="s">
        <v>336</v>
      </c>
      <c r="B128" t="s">
        <v>317</v>
      </c>
      <c r="C128" s="2">
        <v>239.97</v>
      </c>
      <c r="D128">
        <v>3</v>
      </c>
      <c r="E128" s="3">
        <v>0</v>
      </c>
      <c r="F128" s="4">
        <v>26.396699999999999</v>
      </c>
    </row>
    <row r="129" spans="1:6" x14ac:dyDescent="0.35">
      <c r="A129" t="s">
        <v>336</v>
      </c>
      <c r="B129" t="s">
        <v>338</v>
      </c>
      <c r="C129" s="2">
        <v>37.74</v>
      </c>
      <c r="D129">
        <v>3</v>
      </c>
      <c r="E129" s="3">
        <v>0</v>
      </c>
      <c r="F129" s="4">
        <v>12.8316</v>
      </c>
    </row>
    <row r="130" spans="1:6" x14ac:dyDescent="0.35">
      <c r="A130" t="s">
        <v>482</v>
      </c>
      <c r="B130" t="s">
        <v>329</v>
      </c>
      <c r="C130" s="2">
        <v>279.89999999999998</v>
      </c>
      <c r="D130">
        <v>5</v>
      </c>
      <c r="E130" s="3">
        <v>0</v>
      </c>
      <c r="F130" s="4">
        <v>137.15100000000001</v>
      </c>
    </row>
    <row r="131" spans="1:6" x14ac:dyDescent="0.35">
      <c r="A131" t="s">
        <v>512</v>
      </c>
      <c r="B131" t="s">
        <v>389</v>
      </c>
      <c r="C131" s="2">
        <v>449.91</v>
      </c>
      <c r="D131">
        <v>9</v>
      </c>
      <c r="E131" s="3">
        <v>0</v>
      </c>
      <c r="F131" s="4">
        <v>157.46850000000001</v>
      </c>
    </row>
    <row r="132" spans="1:6" x14ac:dyDescent="0.35">
      <c r="A132" t="s">
        <v>462</v>
      </c>
      <c r="B132" t="s">
        <v>138</v>
      </c>
      <c r="C132" s="2">
        <v>12.128</v>
      </c>
      <c r="D132">
        <v>4</v>
      </c>
      <c r="E132" s="3">
        <v>0.8</v>
      </c>
      <c r="F132" s="4">
        <v>-20.617599999999999</v>
      </c>
    </row>
    <row r="133" spans="1:6" x14ac:dyDescent="0.35">
      <c r="A133" t="s">
        <v>490</v>
      </c>
      <c r="B133" t="s">
        <v>449</v>
      </c>
      <c r="C133" s="2">
        <v>8.34</v>
      </c>
      <c r="D133">
        <v>3</v>
      </c>
      <c r="E133" s="3">
        <v>0</v>
      </c>
      <c r="F133" s="4">
        <v>2.1684000000000001</v>
      </c>
    </row>
    <row r="134" spans="1:6" x14ac:dyDescent="0.35">
      <c r="A134" t="s">
        <v>490</v>
      </c>
      <c r="B134" t="s">
        <v>396</v>
      </c>
      <c r="C134" s="2">
        <v>8.57</v>
      </c>
      <c r="D134">
        <v>1</v>
      </c>
      <c r="E134" s="3">
        <v>0</v>
      </c>
      <c r="F134" s="4">
        <v>2.2282000000000002</v>
      </c>
    </row>
    <row r="135" spans="1:6" x14ac:dyDescent="0.35">
      <c r="A135" t="s">
        <v>490</v>
      </c>
      <c r="B135" t="s">
        <v>180</v>
      </c>
      <c r="C135" s="2">
        <v>119.616</v>
      </c>
      <c r="D135">
        <v>8</v>
      </c>
      <c r="E135" s="3">
        <v>0.2</v>
      </c>
      <c r="F135" s="4">
        <v>40.370399999999997</v>
      </c>
    </row>
    <row r="136" spans="1:6" x14ac:dyDescent="0.35">
      <c r="A136" t="s">
        <v>516</v>
      </c>
      <c r="B136" t="s">
        <v>270</v>
      </c>
      <c r="C136" s="2">
        <v>5.22</v>
      </c>
      <c r="D136">
        <v>2</v>
      </c>
      <c r="E136" s="3">
        <v>0</v>
      </c>
      <c r="F136" s="4">
        <v>2.4011999999999998</v>
      </c>
    </row>
    <row r="137" spans="1:6" x14ac:dyDescent="0.35">
      <c r="A137" t="s">
        <v>531</v>
      </c>
      <c r="B137" t="s">
        <v>84</v>
      </c>
      <c r="C137" s="2">
        <v>4.7679999999999998</v>
      </c>
      <c r="D137">
        <v>2</v>
      </c>
      <c r="E137" s="3">
        <v>0.2</v>
      </c>
      <c r="F137" s="4">
        <v>0.4768</v>
      </c>
    </row>
    <row r="138" spans="1:6" x14ac:dyDescent="0.35">
      <c r="A138" t="s">
        <v>541</v>
      </c>
      <c r="B138" t="s">
        <v>447</v>
      </c>
      <c r="C138" s="2">
        <v>12.96</v>
      </c>
      <c r="D138">
        <v>2</v>
      </c>
      <c r="E138" s="3">
        <v>0</v>
      </c>
      <c r="F138" s="4">
        <v>6.2207999999999997</v>
      </c>
    </row>
    <row r="139" spans="1:6" x14ac:dyDescent="0.35">
      <c r="A139" t="s">
        <v>541</v>
      </c>
      <c r="B139" t="s">
        <v>252</v>
      </c>
      <c r="C139" s="2">
        <v>94.85</v>
      </c>
      <c r="D139">
        <v>5</v>
      </c>
      <c r="E139" s="3">
        <v>0</v>
      </c>
      <c r="F139" s="4">
        <v>45.527999999999999</v>
      </c>
    </row>
    <row r="140" spans="1:6" x14ac:dyDescent="0.35">
      <c r="A140" t="s">
        <v>541</v>
      </c>
      <c r="B140" t="s">
        <v>109</v>
      </c>
      <c r="C140" s="2">
        <v>13.48</v>
      </c>
      <c r="D140">
        <v>1</v>
      </c>
      <c r="E140" s="3">
        <v>0</v>
      </c>
      <c r="F140" s="4">
        <v>3.5047999999999999</v>
      </c>
    </row>
    <row r="141" spans="1:6" x14ac:dyDescent="0.35">
      <c r="A141" t="s">
        <v>541</v>
      </c>
      <c r="B141" t="s">
        <v>208</v>
      </c>
      <c r="C141" s="2">
        <v>14.91</v>
      </c>
      <c r="D141">
        <v>3</v>
      </c>
      <c r="E141" s="3">
        <v>0</v>
      </c>
      <c r="F141" s="4">
        <v>4.6220999999999997</v>
      </c>
    </row>
    <row r="142" spans="1:6" x14ac:dyDescent="0.35">
      <c r="A142" t="s">
        <v>239</v>
      </c>
      <c r="B142" t="s">
        <v>241</v>
      </c>
      <c r="C142" s="2">
        <v>18.28</v>
      </c>
      <c r="D142">
        <v>2</v>
      </c>
      <c r="E142" s="3">
        <v>0</v>
      </c>
      <c r="F142" s="4">
        <v>9.14</v>
      </c>
    </row>
    <row r="143" spans="1:6" x14ac:dyDescent="0.35">
      <c r="A143" t="s">
        <v>239</v>
      </c>
      <c r="B143" t="s">
        <v>141</v>
      </c>
      <c r="C143" s="2">
        <v>207</v>
      </c>
      <c r="D143">
        <v>3</v>
      </c>
      <c r="E143" s="3">
        <v>0</v>
      </c>
      <c r="F143" s="4">
        <v>51.75</v>
      </c>
    </row>
    <row r="144" spans="1:6" x14ac:dyDescent="0.35">
      <c r="A144" t="s">
        <v>239</v>
      </c>
      <c r="B144" t="s">
        <v>243</v>
      </c>
      <c r="C144" s="2">
        <v>32.35</v>
      </c>
      <c r="D144">
        <v>5</v>
      </c>
      <c r="E144" s="3">
        <v>0</v>
      </c>
      <c r="F144" s="4">
        <v>16.175000000000001</v>
      </c>
    </row>
    <row r="145" spans="1:6" x14ac:dyDescent="0.35">
      <c r="A145" t="s">
        <v>239</v>
      </c>
      <c r="B145" t="s">
        <v>38</v>
      </c>
      <c r="C145" s="2">
        <v>7.71</v>
      </c>
      <c r="D145">
        <v>1</v>
      </c>
      <c r="E145" s="3">
        <v>0</v>
      </c>
      <c r="F145" s="4">
        <v>3.4695</v>
      </c>
    </row>
    <row r="146" spans="1:6" x14ac:dyDescent="0.35">
      <c r="A146" t="s">
        <v>239</v>
      </c>
      <c r="B146" t="s">
        <v>245</v>
      </c>
      <c r="C146" s="2">
        <v>40.299999999999997</v>
      </c>
      <c r="D146">
        <v>2</v>
      </c>
      <c r="E146" s="3">
        <v>0</v>
      </c>
      <c r="F146" s="4">
        <v>10.881</v>
      </c>
    </row>
    <row r="147" spans="1:6" x14ac:dyDescent="0.35">
      <c r="A147" t="s">
        <v>239</v>
      </c>
      <c r="B147" t="s">
        <v>247</v>
      </c>
      <c r="C147" s="2">
        <v>34.58</v>
      </c>
      <c r="D147">
        <v>7</v>
      </c>
      <c r="E147" s="3">
        <v>0</v>
      </c>
      <c r="F147" s="4">
        <v>14.5236</v>
      </c>
    </row>
    <row r="148" spans="1:6" x14ac:dyDescent="0.35">
      <c r="A148" t="s">
        <v>441</v>
      </c>
      <c r="B148" t="s">
        <v>216</v>
      </c>
      <c r="C148" s="2">
        <v>129.30000000000001</v>
      </c>
      <c r="D148">
        <v>2</v>
      </c>
      <c r="E148" s="3">
        <v>0</v>
      </c>
      <c r="F148" s="4">
        <v>6.4649999999999999</v>
      </c>
    </row>
    <row r="149" spans="1:6" x14ac:dyDescent="0.35">
      <c r="A149" t="s">
        <v>472</v>
      </c>
      <c r="B149" t="s">
        <v>309</v>
      </c>
      <c r="C149" s="2">
        <v>12.74</v>
      </c>
      <c r="D149">
        <v>7</v>
      </c>
      <c r="E149" s="3">
        <v>0</v>
      </c>
      <c r="F149" s="4">
        <v>5.7329999999999997</v>
      </c>
    </row>
    <row r="150" spans="1:6" x14ac:dyDescent="0.35">
      <c r="A150" t="s">
        <v>472</v>
      </c>
      <c r="B150" t="s">
        <v>473</v>
      </c>
      <c r="C150" s="2">
        <v>8.82</v>
      </c>
      <c r="D150">
        <v>3</v>
      </c>
      <c r="E150" s="3">
        <v>0</v>
      </c>
      <c r="F150" s="4">
        <v>2.3814000000000002</v>
      </c>
    </row>
    <row r="151" spans="1:6" x14ac:dyDescent="0.35">
      <c r="A151" t="s">
        <v>472</v>
      </c>
      <c r="B151" t="s">
        <v>86</v>
      </c>
      <c r="C151" s="2">
        <v>120.78400000000001</v>
      </c>
      <c r="D151">
        <v>1</v>
      </c>
      <c r="E151" s="3">
        <v>0.2</v>
      </c>
      <c r="F151" s="4">
        <v>-13.588200000000001</v>
      </c>
    </row>
    <row r="152" spans="1:6" x14ac:dyDescent="0.35">
      <c r="A152" t="s">
        <v>495</v>
      </c>
      <c r="B152" t="s">
        <v>496</v>
      </c>
      <c r="C152" s="2">
        <v>419.13600000000002</v>
      </c>
      <c r="D152">
        <v>4</v>
      </c>
      <c r="E152" s="3">
        <v>0.2</v>
      </c>
      <c r="F152" s="4">
        <v>-68.1096</v>
      </c>
    </row>
    <row r="153" spans="1:6" x14ac:dyDescent="0.35">
      <c r="A153" t="s">
        <v>527</v>
      </c>
      <c r="B153" t="s">
        <v>458</v>
      </c>
      <c r="C153" s="2">
        <v>69.375</v>
      </c>
      <c r="D153">
        <v>1</v>
      </c>
      <c r="E153" s="3">
        <v>0.5</v>
      </c>
      <c r="F153" s="4">
        <v>-47.174999999999997</v>
      </c>
    </row>
    <row r="154" spans="1:6" x14ac:dyDescent="0.35">
      <c r="A154" t="s">
        <v>527</v>
      </c>
      <c r="B154" t="s">
        <v>218</v>
      </c>
      <c r="C154" s="2">
        <v>31.68</v>
      </c>
      <c r="D154">
        <v>4</v>
      </c>
      <c r="E154" s="3">
        <v>0.2</v>
      </c>
      <c r="F154" s="4">
        <v>2.7719999999999998</v>
      </c>
    </row>
    <row r="155" spans="1:6" x14ac:dyDescent="0.35">
      <c r="A155" t="s">
        <v>527</v>
      </c>
      <c r="B155" t="s">
        <v>486</v>
      </c>
      <c r="C155" s="2">
        <v>2003.1679999999999</v>
      </c>
      <c r="D155">
        <v>4</v>
      </c>
      <c r="E155" s="3">
        <v>0.2</v>
      </c>
      <c r="F155" s="4">
        <v>250.39599999999999</v>
      </c>
    </row>
    <row r="156" spans="1:6" x14ac:dyDescent="0.35">
      <c r="A156" t="s">
        <v>527</v>
      </c>
      <c r="B156" t="s">
        <v>132</v>
      </c>
      <c r="C156" s="2">
        <v>9.3439999999999994</v>
      </c>
      <c r="D156">
        <v>2</v>
      </c>
      <c r="E156" s="3">
        <v>0.2</v>
      </c>
      <c r="F156" s="4">
        <v>3.1536</v>
      </c>
    </row>
    <row r="157" spans="1:6" x14ac:dyDescent="0.35">
      <c r="A157" t="s">
        <v>530</v>
      </c>
      <c r="B157" t="s">
        <v>34</v>
      </c>
      <c r="C157" s="2">
        <v>604.76800000000003</v>
      </c>
      <c r="D157">
        <v>4</v>
      </c>
      <c r="E157" s="3">
        <v>0.2</v>
      </c>
      <c r="F157" s="4">
        <v>60.476799999999997</v>
      </c>
    </row>
  </sheetData>
  <mergeCells count="1">
    <mergeCell ref="A1:F1"/>
  </mergeCells>
  <conditionalFormatting sqref="C1:C1048576">
    <cfRule type="top10" dxfId="7" priority="8" bottom="1" rank="10"/>
    <cfRule type="top10" dxfId="6" priority="9" rank="10"/>
  </conditionalFormatting>
  <conditionalFormatting sqref="D1:D1048576">
    <cfRule type="top10" dxfId="5" priority="6" bottom="1" rank="10"/>
    <cfRule type="top10" dxfId="4" priority="7" rank="10"/>
  </conditionalFormatting>
  <conditionalFormatting sqref="E1:E1048576">
    <cfRule type="top10" dxfId="3" priority="4" rank="20"/>
    <cfRule type="top10" priority="5" rank="20"/>
  </conditionalFormatting>
  <conditionalFormatting sqref="F3:F157">
    <cfRule type="cellIs" dxfId="2" priority="1" operator="lessThan">
      <formula>0</formula>
    </cfRule>
    <cfRule type="cellIs" dxfId="1" priority="2" operator="between">
      <formula>0</formula>
      <formula>46.07</formula>
    </cfRule>
    <cfRule type="cellIs" dxfId="0" priority="3" operator="greaterThan">
      <formula>46.07</formula>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A1B27-D1B5-4712-8DDF-16E1F8015D34}">
  <dimension ref="A1:B7"/>
  <sheetViews>
    <sheetView workbookViewId="0">
      <selection activeCell="B17" sqref="B17"/>
    </sheetView>
  </sheetViews>
  <sheetFormatPr defaultRowHeight="14.5" x14ac:dyDescent="0.35"/>
  <cols>
    <col min="1" max="1" width="21.81640625" bestFit="1" customWidth="1"/>
    <col min="2" max="3" width="11.54296875" bestFit="1" customWidth="1"/>
  </cols>
  <sheetData>
    <row r="1" spans="1:2" x14ac:dyDescent="0.35">
      <c r="A1" s="15" t="s">
        <v>741</v>
      </c>
      <c r="B1" s="15"/>
    </row>
    <row r="2" spans="1:2" x14ac:dyDescent="0.35">
      <c r="A2" s="11" t="s">
        <v>728</v>
      </c>
      <c r="B2" t="s">
        <v>727</v>
      </c>
    </row>
    <row r="3" spans="1:2" x14ac:dyDescent="0.35">
      <c r="A3" s="12" t="s">
        <v>48</v>
      </c>
      <c r="B3" s="4">
        <v>21690.656000000003</v>
      </c>
    </row>
    <row r="4" spans="1:2" x14ac:dyDescent="0.35">
      <c r="A4" s="12" t="s">
        <v>55</v>
      </c>
      <c r="B4" s="4">
        <v>5383.2839999999987</v>
      </c>
    </row>
    <row r="5" spans="1:2" x14ac:dyDescent="0.35">
      <c r="A5" s="12" t="s">
        <v>14</v>
      </c>
      <c r="B5" s="4">
        <v>4815.5900000000011</v>
      </c>
    </row>
    <row r="6" spans="1:2" x14ac:dyDescent="0.35">
      <c r="A6" s="12" t="s">
        <v>21</v>
      </c>
      <c r="B6" s="4">
        <v>12081.843999999997</v>
      </c>
    </row>
    <row r="7" spans="1:2" x14ac:dyDescent="0.35">
      <c r="A7" s="12" t="s">
        <v>726</v>
      </c>
      <c r="B7" s="4">
        <v>43971.373999999996</v>
      </c>
    </row>
  </sheetData>
  <mergeCells count="1">
    <mergeCell ref="A1:B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3A765-D94D-4B5B-96DB-3F5F71F6BF82}">
  <dimension ref="A1:C6"/>
  <sheetViews>
    <sheetView workbookViewId="0">
      <selection sqref="A1:XFD1"/>
    </sheetView>
  </sheetViews>
  <sheetFormatPr defaultRowHeight="14.5" x14ac:dyDescent="0.35"/>
  <cols>
    <col min="1" max="1" width="25.90625" bestFit="1" customWidth="1"/>
    <col min="2" max="2" width="13.54296875" bestFit="1" customWidth="1"/>
    <col min="3" max="3" width="12" bestFit="1" customWidth="1"/>
  </cols>
  <sheetData>
    <row r="1" spans="1:3" ht="16" x14ac:dyDescent="0.4">
      <c r="A1" s="13" t="s">
        <v>737</v>
      </c>
      <c r="B1" s="14"/>
      <c r="C1" s="14"/>
    </row>
    <row r="2" spans="1:3" x14ac:dyDescent="0.35">
      <c r="A2" s="11" t="s">
        <v>740</v>
      </c>
      <c r="B2" t="s">
        <v>739</v>
      </c>
      <c r="C2" t="s">
        <v>738</v>
      </c>
    </row>
    <row r="3" spans="1:3" x14ac:dyDescent="0.35">
      <c r="A3" s="12" t="s">
        <v>684</v>
      </c>
      <c r="B3" s="4">
        <v>21274.288999999993</v>
      </c>
      <c r="C3" s="4">
        <v>3260.4466999999986</v>
      </c>
    </row>
    <row r="4" spans="1:3" x14ac:dyDescent="0.35">
      <c r="A4" s="12" t="s">
        <v>35</v>
      </c>
      <c r="B4" s="4">
        <v>16733.053</v>
      </c>
      <c r="C4" s="4">
        <v>3919.4326000000005</v>
      </c>
    </row>
    <row r="5" spans="1:3" x14ac:dyDescent="0.35">
      <c r="A5" s="12" t="s">
        <v>15</v>
      </c>
      <c r="B5" s="4">
        <v>5964.0319999999983</v>
      </c>
      <c r="C5" s="4">
        <v>-39.440199999999962</v>
      </c>
    </row>
    <row r="6" spans="1:3" x14ac:dyDescent="0.35">
      <c r="A6" s="12" t="s">
        <v>726</v>
      </c>
      <c r="B6" s="4">
        <v>43971.373999999996</v>
      </c>
      <c r="C6" s="4">
        <v>7140.4390999999996</v>
      </c>
    </row>
  </sheetData>
  <mergeCells count="1">
    <mergeCell ref="A1:C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FC672-07FC-4630-ADAA-96A10888D2C4}">
  <dimension ref="A1:P8"/>
  <sheetViews>
    <sheetView tabSelected="1" workbookViewId="0">
      <selection sqref="A1:P1"/>
    </sheetView>
  </sheetViews>
  <sheetFormatPr defaultRowHeight="14.5" x14ac:dyDescent="0.35"/>
  <cols>
    <col min="1" max="1" width="10.90625" bestFit="1" customWidth="1"/>
    <col min="2" max="2" width="11.1796875" bestFit="1" customWidth="1"/>
    <col min="3" max="3" width="15.90625" bestFit="1" customWidth="1"/>
    <col min="4" max="4" width="10.90625" bestFit="1" customWidth="1"/>
    <col min="5" max="5" width="10.1796875" bestFit="1" customWidth="1"/>
    <col min="6" max="6" width="15.90625" bestFit="1" customWidth="1"/>
    <col min="7" max="7" width="10.90625" bestFit="1" customWidth="1"/>
    <col min="8" max="8" width="10.1796875" bestFit="1" customWidth="1"/>
    <col min="9" max="9" width="15.90625" bestFit="1" customWidth="1"/>
    <col min="10" max="10" width="10.90625" bestFit="1" customWidth="1"/>
    <col min="11" max="11" width="11.1796875" bestFit="1" customWidth="1"/>
    <col min="12" max="12" width="15.90625" bestFit="1" customWidth="1"/>
    <col min="13" max="13" width="10.90625" bestFit="1" customWidth="1"/>
    <col min="14" max="14" width="14.36328125" bestFit="1" customWidth="1"/>
    <col min="15" max="15" width="20.453125" bestFit="1" customWidth="1"/>
    <col min="16" max="16" width="15.453125" bestFit="1" customWidth="1"/>
  </cols>
  <sheetData>
    <row r="1" spans="1:16" x14ac:dyDescent="0.35">
      <c r="A1" s="15" t="s">
        <v>736</v>
      </c>
      <c r="B1" s="14"/>
      <c r="C1" s="14"/>
      <c r="D1" s="14"/>
      <c r="E1" s="14"/>
      <c r="F1" s="14"/>
      <c r="G1" s="14"/>
      <c r="H1" s="14"/>
      <c r="I1" s="14"/>
      <c r="J1" s="14"/>
      <c r="K1" s="14"/>
      <c r="L1" s="14"/>
      <c r="M1" s="14"/>
      <c r="N1" s="14"/>
      <c r="O1" s="14"/>
      <c r="P1" s="14"/>
    </row>
    <row r="2" spans="1:16" x14ac:dyDescent="0.35">
      <c r="B2" s="11" t="s">
        <v>735</v>
      </c>
    </row>
    <row r="3" spans="1:16" x14ac:dyDescent="0.35">
      <c r="B3" t="s">
        <v>48</v>
      </c>
      <c r="E3" t="s">
        <v>55</v>
      </c>
      <c r="H3" t="s">
        <v>14</v>
      </c>
      <c r="K3" t="s">
        <v>21</v>
      </c>
      <c r="N3" t="s">
        <v>732</v>
      </c>
      <c r="O3" t="s">
        <v>733</v>
      </c>
      <c r="P3" t="s">
        <v>734</v>
      </c>
    </row>
    <row r="4" spans="1:16" x14ac:dyDescent="0.35">
      <c r="A4" s="11" t="s">
        <v>3</v>
      </c>
      <c r="B4" t="s">
        <v>730</v>
      </c>
      <c r="C4" t="s">
        <v>729</v>
      </c>
      <c r="D4" t="s">
        <v>731</v>
      </c>
      <c r="E4" t="s">
        <v>730</v>
      </c>
      <c r="F4" t="s">
        <v>729</v>
      </c>
      <c r="G4" t="s">
        <v>731</v>
      </c>
      <c r="H4" t="s">
        <v>730</v>
      </c>
      <c r="I4" t="s">
        <v>729</v>
      </c>
      <c r="J4" t="s">
        <v>731</v>
      </c>
      <c r="K4" t="s">
        <v>730</v>
      </c>
      <c r="L4" t="s">
        <v>729</v>
      </c>
      <c r="M4" t="s">
        <v>731</v>
      </c>
    </row>
    <row r="5" spans="1:16" x14ac:dyDescent="0.35">
      <c r="A5" s="12" t="s">
        <v>687</v>
      </c>
      <c r="B5" s="4">
        <v>11074.038999999997</v>
      </c>
      <c r="C5" s="4">
        <v>346.06371874999991</v>
      </c>
      <c r="D5">
        <v>32</v>
      </c>
      <c r="E5" s="4">
        <v>4647.7679999999991</v>
      </c>
      <c r="F5" s="4">
        <v>232.38839999999996</v>
      </c>
      <c r="G5">
        <v>20</v>
      </c>
      <c r="H5" s="4">
        <v>3635.0139999999997</v>
      </c>
      <c r="I5" s="4">
        <v>302.91783333333331</v>
      </c>
      <c r="J5">
        <v>12</v>
      </c>
      <c r="K5" s="4">
        <v>3855.0200000000004</v>
      </c>
      <c r="L5" s="4">
        <v>226.76588235294119</v>
      </c>
      <c r="M5">
        <v>17</v>
      </c>
      <c r="N5" s="4">
        <v>23211.841000000004</v>
      </c>
      <c r="O5" s="4">
        <v>286.56593827160498</v>
      </c>
      <c r="P5">
        <v>81</v>
      </c>
    </row>
    <row r="6" spans="1:16" x14ac:dyDescent="0.35">
      <c r="A6" s="12" t="s">
        <v>18</v>
      </c>
      <c r="B6" s="4">
        <v>9014.4840000000004</v>
      </c>
      <c r="C6" s="4">
        <v>600.96559999999999</v>
      </c>
      <c r="D6">
        <v>15</v>
      </c>
      <c r="E6" s="4">
        <v>207.846</v>
      </c>
      <c r="F6" s="4">
        <v>207.846</v>
      </c>
      <c r="G6">
        <v>1</v>
      </c>
      <c r="H6" s="4">
        <v>762.84400000000005</v>
      </c>
      <c r="I6" s="4">
        <v>152.56880000000001</v>
      </c>
      <c r="J6">
        <v>5</v>
      </c>
      <c r="K6" s="4">
        <v>2236.058</v>
      </c>
      <c r="L6" s="4">
        <v>159.71842857142857</v>
      </c>
      <c r="M6">
        <v>14</v>
      </c>
      <c r="N6" s="4">
        <v>12221.232000000002</v>
      </c>
      <c r="O6" s="4">
        <v>349.1780571428572</v>
      </c>
      <c r="P6">
        <v>35</v>
      </c>
    </row>
    <row r="7" spans="1:16" x14ac:dyDescent="0.35">
      <c r="A7" s="12" t="s">
        <v>47</v>
      </c>
      <c r="B7" s="4">
        <v>1602.133</v>
      </c>
      <c r="C7" s="4">
        <v>114.43807142857143</v>
      </c>
      <c r="D7">
        <v>14</v>
      </c>
      <c r="E7" s="4">
        <v>527.67000000000007</v>
      </c>
      <c r="F7" s="4">
        <v>175.89000000000001</v>
      </c>
      <c r="G7">
        <v>3</v>
      </c>
      <c r="H7" s="4">
        <v>417.73200000000003</v>
      </c>
      <c r="I7" s="4">
        <v>139.244</v>
      </c>
      <c r="J7">
        <v>3</v>
      </c>
      <c r="K7" s="4">
        <v>5990.7659999999987</v>
      </c>
      <c r="L7" s="4">
        <v>315.30347368421047</v>
      </c>
      <c r="M7">
        <v>19</v>
      </c>
      <c r="N7" s="4">
        <v>8538.3009999999995</v>
      </c>
      <c r="O7" s="4">
        <v>218.93079487179486</v>
      </c>
      <c r="P7">
        <v>39</v>
      </c>
    </row>
    <row r="8" spans="1:16" x14ac:dyDescent="0.35">
      <c r="A8" s="12" t="s">
        <v>726</v>
      </c>
      <c r="B8" s="4">
        <v>21690.655999999992</v>
      </c>
      <c r="C8" s="4">
        <v>355.58452459016382</v>
      </c>
      <c r="D8">
        <v>61</v>
      </c>
      <c r="E8" s="4">
        <v>5383.2839999999997</v>
      </c>
      <c r="F8" s="4">
        <v>224.30349999999999</v>
      </c>
      <c r="G8">
        <v>24</v>
      </c>
      <c r="H8" s="4">
        <v>4815.5899999999992</v>
      </c>
      <c r="I8" s="4">
        <v>240.77949999999996</v>
      </c>
      <c r="J8">
        <v>20</v>
      </c>
      <c r="K8" s="4">
        <v>12081.843999999997</v>
      </c>
      <c r="L8" s="4">
        <v>241.63687999999993</v>
      </c>
      <c r="M8">
        <v>50</v>
      </c>
      <c r="N8" s="4">
        <v>43971.374000000003</v>
      </c>
      <c r="O8" s="4">
        <v>283.68628387096777</v>
      </c>
      <c r="P8">
        <v>155</v>
      </c>
    </row>
  </sheetData>
  <mergeCells count="1">
    <mergeCell ref="A1:P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32E16-2D1F-4018-A9CC-C19888F7EB55}">
  <dimension ref="A1"/>
  <sheetViews>
    <sheetView showGridLines="0" zoomScale="60" zoomScaleNormal="60" workbookViewId="0">
      <selection activeCell="AC33" sqref="AC33"/>
    </sheetView>
  </sheetViews>
  <sheetFormatPr defaultRowHeight="14.5" x14ac:dyDescent="0.35"/>
  <cols>
    <col min="1" max="16384" width="8.7265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CBED0-7AAD-4E8E-BFC6-16E5D100B4FE}">
  <dimension ref="A1"/>
  <sheetViews>
    <sheetView showGridLines="0" workbookViewId="0">
      <selection activeCell="E4" sqref="E3:E4"/>
    </sheetView>
  </sheetViews>
  <sheetFormatPr defaultRowHeight="14.5" x14ac:dyDescent="0.35"/>
  <cols>
    <col min="1" max="16384" width="8.7265625" style="5"/>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C5E69733293BD4C89CD15C8461DEE40" ma:contentTypeVersion="4" ma:contentTypeDescription="Create a new document." ma:contentTypeScope="" ma:versionID="21a40e25458f80b7564ebe9d98f9f58f">
  <xsd:schema xmlns:xsd="http://www.w3.org/2001/XMLSchema" xmlns:xs="http://www.w3.org/2001/XMLSchema" xmlns:p="http://schemas.microsoft.com/office/2006/metadata/properties" xmlns:ns3="5af38bd5-a3ea-456e-816e-3a4218db007a" targetNamespace="http://schemas.microsoft.com/office/2006/metadata/properties" ma:root="true" ma:fieldsID="551eb4855641c41f7d7d52915b471b80" ns3:_="">
    <xsd:import namespace="5af38bd5-a3ea-456e-816e-3a4218db007a"/>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af38bd5-a3ea-456e-816e-3a4218db007a"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9D4B867-96C0-46CA-AEEB-7E21AEB1D72A}">
  <ds:schemaRefs>
    <ds:schemaRef ds:uri="http://purl.org/dc/dcmitype/"/>
    <ds:schemaRef ds:uri="http://purl.org/dc/elements/1.1/"/>
    <ds:schemaRef ds:uri="http://schemas.openxmlformats.org/package/2006/metadata/core-properties"/>
    <ds:schemaRef ds:uri="5af38bd5-a3ea-456e-816e-3a4218db007a"/>
    <ds:schemaRef ds:uri="http://schemas.microsoft.com/office/2006/documentManagement/types"/>
    <ds:schemaRef ds:uri="http://schemas.microsoft.com/office/infopath/2007/PartnerControls"/>
    <ds:schemaRef ds:uri="http://schemas.microsoft.com/office/2006/metadata/properties"/>
    <ds:schemaRef ds:uri="http://www.w3.org/XML/1998/namespace"/>
    <ds:schemaRef ds:uri="http://purl.org/dc/terms/"/>
  </ds:schemaRefs>
</ds:datastoreItem>
</file>

<file path=customXml/itemProps2.xml><?xml version="1.0" encoding="utf-8"?>
<ds:datastoreItem xmlns:ds="http://schemas.openxmlformats.org/officeDocument/2006/customXml" ds:itemID="{38F188BD-7905-410A-A1EB-31A2A998BE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af38bd5-a3ea-456e-816e-3a4218db007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FB2EFDD-C86A-48F8-B557-3E4EDF1859D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Raw Data</vt:lpstr>
      <vt:lpstr>Cleaned Data</vt:lpstr>
      <vt:lpstr>Customers</vt:lpstr>
      <vt:lpstr>Orders</vt:lpstr>
      <vt:lpstr>Products</vt:lpstr>
      <vt:lpstr>Order Details</vt:lpstr>
      <vt:lpstr>Calculations</vt:lpstr>
      <vt:lpstr>Conditional Formatting</vt:lpstr>
      <vt:lpstr>Pivot Table 1</vt:lpstr>
      <vt:lpstr>Pivot Table 2</vt:lpstr>
      <vt:lpstr>Pivot Table 3</vt:lpstr>
      <vt:lpstr>Dashboard</vt:lpstr>
      <vt:lpstr>Insights and 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EMAAN SHAHID</cp:lastModifiedBy>
  <dcterms:created xsi:type="dcterms:W3CDTF">2026-02-20T07:12:12Z</dcterms:created>
  <dcterms:modified xsi:type="dcterms:W3CDTF">2026-02-20T18:37:08Z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0x0101009C5E69733293BD4C89CD15C8461DEE40</vt:lpwstr>
  </property>
</Properties>
</file>